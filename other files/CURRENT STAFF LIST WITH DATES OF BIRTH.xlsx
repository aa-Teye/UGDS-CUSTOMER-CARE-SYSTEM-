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CODING FILES\KORLEBU PROJECTS\other files\"/>
    </mc:Choice>
  </mc:AlternateContent>
  <xr:revisionPtr revIDLastSave="0" documentId="8_{2F7CFE83-B99A-486D-9F30-CE4781C2E358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SENIOR MEMBERS LIST" sheetId="1" r:id="rId1"/>
    <sheet name="STAFF LIST" sheetId="2" r:id="rId2"/>
    <sheet name="Sheet1" sheetId="3" r:id="rId3"/>
  </sheets>
  <definedNames>
    <definedName name="_xlnm.Print_Area" localSheetId="1">'STAFF LIST'!$A$1:$F$136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" i="2" l="1"/>
  <c r="F94" i="2"/>
  <c r="F62" i="2"/>
  <c r="F11" i="2"/>
  <c r="F33" i="1"/>
  <c r="F8" i="1"/>
  <c r="F22" i="2" l="1"/>
  <c r="F12" i="2" l="1"/>
  <c r="F24" i="1"/>
  <c r="F59" i="2" l="1"/>
  <c r="F26" i="2" l="1"/>
  <c r="F21" i="2"/>
  <c r="F125" i="2"/>
  <c r="F126" i="2"/>
  <c r="F118" i="2"/>
  <c r="F119" i="2"/>
  <c r="F120" i="2"/>
  <c r="F121" i="2"/>
  <c r="F122" i="2"/>
  <c r="F115" i="2"/>
  <c r="F98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91" i="2"/>
  <c r="F92" i="2"/>
  <c r="F93" i="2"/>
  <c r="F83" i="2"/>
  <c r="F84" i="2"/>
  <c r="F85" i="2"/>
  <c r="F86" i="2"/>
  <c r="F87" i="2"/>
  <c r="F88" i="2"/>
  <c r="F45" i="2"/>
  <c r="F46" i="2"/>
  <c r="F47" i="2"/>
  <c r="F48" i="2"/>
  <c r="F49" i="2"/>
  <c r="F50" i="2"/>
  <c r="F52" i="2"/>
  <c r="F53" i="2"/>
  <c r="F54" i="2"/>
  <c r="F55" i="2"/>
  <c r="F56" i="2"/>
  <c r="F57" i="2"/>
  <c r="F58" i="2"/>
  <c r="F60" i="2"/>
  <c r="F61" i="2"/>
  <c r="F51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44" i="2"/>
  <c r="F31" i="2"/>
  <c r="F32" i="2"/>
  <c r="F33" i="2"/>
  <c r="F34" i="2"/>
  <c r="F35" i="2"/>
  <c r="F36" i="2"/>
  <c r="F37" i="2"/>
  <c r="F38" i="2"/>
  <c r="F39" i="2"/>
  <c r="F40" i="2"/>
  <c r="F41" i="2"/>
  <c r="F30" i="2"/>
  <c r="F24" i="2"/>
  <c r="F25" i="2"/>
  <c r="F23" i="2"/>
  <c r="F16" i="2"/>
  <c r="F17" i="2"/>
  <c r="F18" i="2"/>
  <c r="F15" i="2"/>
  <c r="F6" i="2"/>
  <c r="F7" i="2"/>
  <c r="F8" i="2"/>
  <c r="F9" i="2"/>
  <c r="F10" i="2"/>
  <c r="F5" i="2"/>
  <c r="F35" i="1" l="1"/>
  <c r="F23" i="1"/>
  <c r="F12" i="1"/>
  <c r="F34" i="1"/>
  <c r="F36" i="1"/>
  <c r="F32" i="1"/>
  <c r="F9" i="1"/>
  <c r="F22" i="1"/>
  <c r="F15" i="1"/>
  <c r="F5" i="1"/>
  <c r="F6" i="1"/>
  <c r="F7" i="1"/>
  <c r="F10" i="1"/>
  <c r="F11" i="1"/>
  <c r="F13" i="1"/>
  <c r="F14" i="1"/>
  <c r="F16" i="1"/>
  <c r="F17" i="1"/>
  <c r="F18" i="1"/>
  <c r="F19" i="1"/>
  <c r="F20" i="1"/>
  <c r="F21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8"/>
            <color indexed="81"/>
            <rFont val="Tahoma"/>
            <family val="2"/>
          </rPr>
          <t>RETIRING IN 2026</t>
        </r>
      </text>
    </comment>
    <comment ref="F2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6"/>
            <color indexed="81"/>
            <rFont val="Tahoma"/>
            <family val="2"/>
          </rPr>
          <t>RETIRING IN 2028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9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RETIRING IN 2028</t>
        </r>
      </text>
    </comment>
    <comment ref="F10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RETIRED IN 2026</t>
        </r>
      </text>
    </comment>
    <comment ref="F10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RETIRING IN 2027</t>
        </r>
      </text>
    </comment>
    <comment ref="F11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RETIRING IN 2027</t>
        </r>
      </text>
    </comment>
  </commentList>
</comments>
</file>

<file path=xl/sharedStrings.xml><?xml version="1.0" encoding="utf-8"?>
<sst xmlns="http://schemas.openxmlformats.org/spreadsheetml/2006/main" count="432" uniqueCount="250">
  <si>
    <t>SENIOR MEMBERS</t>
  </si>
  <si>
    <t>NO.</t>
  </si>
  <si>
    <t>NAME</t>
  </si>
  <si>
    <t>POSITION</t>
  </si>
  <si>
    <t>DEPARTMENT/UNIT</t>
  </si>
  <si>
    <t>STATUS</t>
  </si>
  <si>
    <t>Dr. A .E. Abdulai</t>
  </si>
  <si>
    <t>Senior Lecturer</t>
  </si>
  <si>
    <t>Oral &amp; Maxillofacial Surgery</t>
  </si>
  <si>
    <t>Prof. Grace Parkins</t>
  </si>
  <si>
    <t>Associate Professor</t>
  </si>
  <si>
    <t>Dr. Francis Kwamin</t>
  </si>
  <si>
    <t>Oral Pathology/Oral Medicine</t>
  </si>
  <si>
    <t>Prof. N.O. Nartey</t>
  </si>
  <si>
    <t>Oral Pathology &amp; Oral Medicine</t>
  </si>
  <si>
    <t>Biomaterials Science</t>
  </si>
  <si>
    <t>Prof. E. A. Nyako</t>
  </si>
  <si>
    <t>Restorative Dentistry</t>
  </si>
  <si>
    <t>Dr. G. K. Amoah</t>
  </si>
  <si>
    <t>Orthodontics/Paedodontics</t>
  </si>
  <si>
    <t>Dr. Mamta Thadani</t>
  </si>
  <si>
    <t>Lecturer</t>
  </si>
  <si>
    <t>Orthodontics &amp; Paedodontics</t>
  </si>
  <si>
    <t>Dr. Daniel Tormeti</t>
  </si>
  <si>
    <t>Community &amp; Preventive Dentistry (Periodontics)</t>
  </si>
  <si>
    <t>Community &amp; Preventive Dentistry</t>
  </si>
  <si>
    <t>Rev. (Dr.) Thomas A.  Ndanu</t>
  </si>
  <si>
    <t>Senior Research Fellow</t>
  </si>
  <si>
    <t>Dr. Alfred Dai Kosi</t>
  </si>
  <si>
    <t>Dr. N. Quartey-Papafio</t>
  </si>
  <si>
    <t>Assistant Lecturer</t>
  </si>
  <si>
    <t>Mrs. Linda Tetteh</t>
  </si>
  <si>
    <t>Dental HOD’s Secretariat</t>
  </si>
  <si>
    <t>Ms. Heidi Marie Fleischer</t>
  </si>
  <si>
    <t>Mr. George Boafo</t>
  </si>
  <si>
    <t>Mr. Abdullai Issifu</t>
  </si>
  <si>
    <t>Dental Clinic</t>
  </si>
  <si>
    <t>Principal Nursing Officer</t>
  </si>
  <si>
    <t>Dental Oral Radiology (x-ray)</t>
  </si>
  <si>
    <t>Dental Surgery Assistant</t>
  </si>
  <si>
    <t>Mr. Samuel De-Graft Mensah</t>
  </si>
  <si>
    <t>Mrs. Rachael N. Owusu-Atuah</t>
  </si>
  <si>
    <t>Senior Dental Hygienist/Therapist</t>
  </si>
  <si>
    <t>Ms. Gifty Danquah</t>
  </si>
  <si>
    <t>Ms. Joyce Azure</t>
  </si>
  <si>
    <t>Ms. Gladys Tsotsoo Nketia</t>
  </si>
  <si>
    <t>Ms. Hannah Majorie Ennin</t>
  </si>
  <si>
    <t>Ms. Claudia Kenu</t>
  </si>
  <si>
    <t>Ms. Priscilla Cudjoe</t>
  </si>
  <si>
    <t>Ms. Gifty Azure</t>
  </si>
  <si>
    <t>Ms. Vivian Awudi</t>
  </si>
  <si>
    <t>Ms. Josephine Enyonam Afflo</t>
  </si>
  <si>
    <t>Ms. Sheila Bannerman</t>
  </si>
  <si>
    <t>Ms. Juliana Patterson</t>
  </si>
  <si>
    <t>Ms. Mary Alased</t>
  </si>
  <si>
    <t>Ms. Sharon Magnusen</t>
  </si>
  <si>
    <t>Mr. Emmanuel Nettey</t>
  </si>
  <si>
    <t>Tech. Assist. Gd II</t>
  </si>
  <si>
    <t>Ms. Samira Chambu</t>
  </si>
  <si>
    <t>DSA Grade I</t>
  </si>
  <si>
    <t>Ms. Miriam Annan</t>
  </si>
  <si>
    <t>Ms. Henrietta Ankrah</t>
  </si>
  <si>
    <t>Ms.  Joana Addy</t>
  </si>
  <si>
    <t>Ms. Matilda Mongson</t>
  </si>
  <si>
    <t>Ms. Georgina Neequaye</t>
  </si>
  <si>
    <t>Ms. Gifty Elizabeth Koomson</t>
  </si>
  <si>
    <t>Ms. Mavis Odoom</t>
  </si>
  <si>
    <t>Ms. Evelyn Baidoo</t>
  </si>
  <si>
    <t>Ms. Abigail Boateng</t>
  </si>
  <si>
    <t>Ms. Regina Ayisi</t>
  </si>
  <si>
    <t>Ms. Ophelia Andoh</t>
  </si>
  <si>
    <t>Ms. Hawa Ibrahim</t>
  </si>
  <si>
    <t>Mr. Boateng Shadrach</t>
  </si>
  <si>
    <t>Restorative Dept. /Prostho. Lab</t>
  </si>
  <si>
    <t>Mrs. Marian Nana Wood Safo</t>
  </si>
  <si>
    <t>Ms. Eunice Asamoah Sasu</t>
  </si>
  <si>
    <t>Dental Technical Lab Assist. Gd I</t>
  </si>
  <si>
    <t>Mr. Joseph K.A Daku</t>
  </si>
  <si>
    <t>Mr. Wilfred Cofie</t>
  </si>
  <si>
    <t>Dental Technical Lab Assist. Gd II</t>
  </si>
  <si>
    <t>Dental Technologist</t>
  </si>
  <si>
    <t>Mr. Suchiel Pokoo</t>
  </si>
  <si>
    <t>Technical Unit</t>
  </si>
  <si>
    <t>Principal Technician</t>
  </si>
  <si>
    <t>Mr. Moses Akakpo</t>
  </si>
  <si>
    <t>Security Unit</t>
  </si>
  <si>
    <t>Security Officer</t>
  </si>
  <si>
    <t>Mr. Kpani Cofie</t>
  </si>
  <si>
    <t>Senior Guard</t>
  </si>
  <si>
    <t>Mr. Ayebaase Emmanuel</t>
  </si>
  <si>
    <t>Grade One</t>
  </si>
  <si>
    <t>Assistant Security Officer</t>
  </si>
  <si>
    <t>Mr. Robert Akogtu</t>
  </si>
  <si>
    <t>Mr. Stephen Gyabaah</t>
  </si>
  <si>
    <t>Mr. Mohammed Yakubu</t>
  </si>
  <si>
    <t>Mr. Christian Essien</t>
  </si>
  <si>
    <t>Mr. Emmanuel Awudi</t>
  </si>
  <si>
    <t>Cleaner</t>
  </si>
  <si>
    <t xml:space="preserve">Dental Clinic   </t>
  </si>
  <si>
    <t xml:space="preserve">Dental Clinic    </t>
  </si>
  <si>
    <t>Ms. Victoria Apaabey</t>
  </si>
  <si>
    <t xml:space="preserve">Dental Clinic </t>
  </si>
  <si>
    <t>Mr. Fuseini Baba</t>
  </si>
  <si>
    <t>Gardener</t>
  </si>
  <si>
    <t>Accounts</t>
  </si>
  <si>
    <t>TECHNICAL UNIT STAFF</t>
  </si>
  <si>
    <t>SECURITY</t>
  </si>
  <si>
    <t>LABORATORY STAFF</t>
  </si>
  <si>
    <t>Mrs. Adwoba Quaye</t>
  </si>
  <si>
    <t>Prin. Dental Technologist</t>
  </si>
  <si>
    <t>Mr. Osman Bawa</t>
  </si>
  <si>
    <t>Clinic Administrator</t>
  </si>
  <si>
    <t>Clinic</t>
  </si>
  <si>
    <t>Orthodontics/Paedodontics &amp; Oral Biology</t>
  </si>
  <si>
    <t>CLEANER/GARDENER</t>
  </si>
  <si>
    <t>Senior Headman</t>
  </si>
  <si>
    <t>Snr. Admin. Assist</t>
  </si>
  <si>
    <t>Snr. Dental Technologist</t>
  </si>
  <si>
    <t>Mrs. Selie Ama Baiden</t>
  </si>
  <si>
    <t>Mr. Godwin Ziddah</t>
  </si>
  <si>
    <t>UNIVERSITY OF GHANA DENTAL SCHOOL</t>
  </si>
  <si>
    <t>Ms. Leticia Sarpomaa</t>
  </si>
  <si>
    <t>Administration</t>
  </si>
  <si>
    <t>SENIOR &amp; JUNIOR STAFF  (ADMINISTRATION)</t>
  </si>
  <si>
    <t>Chief Admin. Assist</t>
  </si>
  <si>
    <t>Mrs. Genevieve L. Kwashie</t>
  </si>
  <si>
    <t>Ms. Aminatu Bukari</t>
  </si>
  <si>
    <t>Dental - Dean’s Office</t>
  </si>
  <si>
    <t>Mr. Kingsley Owusu Atuobi</t>
  </si>
  <si>
    <t>Administration/Dean's Office</t>
  </si>
  <si>
    <t>Messenger/Cleaner</t>
  </si>
  <si>
    <t>Mr. Jacob Cofie</t>
  </si>
  <si>
    <t>Research Assistant</t>
  </si>
  <si>
    <t>Mr Ebenezer Ata Cobbinah</t>
  </si>
  <si>
    <t>Mr. Baffour Kofi Asare-Anane</t>
  </si>
  <si>
    <t>Denal Clinic</t>
  </si>
  <si>
    <t>Mr. Augustus A. Konor</t>
  </si>
  <si>
    <t>Dr. Mani Deepthi Chitipothu</t>
  </si>
  <si>
    <t>Dr. Paul Matondo</t>
  </si>
  <si>
    <t>Oral Biology</t>
  </si>
  <si>
    <t>Prof. M. Newman-Nartey</t>
  </si>
  <si>
    <t>Ms Joanna Naa Koshie Lamptey</t>
  </si>
  <si>
    <t>Ms. Stephanie Adjei</t>
  </si>
  <si>
    <t>Ms. Abena Mensah Afful</t>
  </si>
  <si>
    <t>Ms. Rosemary Nordzievor</t>
  </si>
  <si>
    <t>Dr. Gladia Toledo Nayari Yabang</t>
  </si>
  <si>
    <t xml:space="preserve">Orthodontics/Paedodontics </t>
  </si>
  <si>
    <t>STAFF LIST</t>
  </si>
  <si>
    <t xml:space="preserve"> Security Officer</t>
  </si>
  <si>
    <t>Ms. Rossette Setranah</t>
  </si>
  <si>
    <t>School Accountant</t>
  </si>
  <si>
    <t>Prin. Admin. Assist</t>
  </si>
  <si>
    <t>Mr. Moses Bokpieh</t>
  </si>
  <si>
    <t>Mr. Richmond Boateng-Agyenim</t>
  </si>
  <si>
    <t>Mr. James Edumfa Ofori</t>
  </si>
  <si>
    <t>Ms. Millicent Sarpong</t>
  </si>
  <si>
    <t>Prin. Accounting Assistant</t>
  </si>
  <si>
    <t>Senior Research Assistant</t>
  </si>
  <si>
    <t>Senior Accounting Assistant</t>
  </si>
  <si>
    <t>Mr. Latif Nmawise Ali</t>
  </si>
  <si>
    <t>Prin. Technologist</t>
  </si>
  <si>
    <t>Prin. Dental Hygienist/Therapist</t>
  </si>
  <si>
    <t>Senior Dental Surgery Assistant</t>
  </si>
  <si>
    <t xml:space="preserve"> DSA Grade I</t>
  </si>
  <si>
    <t>Mr. Daniel Obboye Kesse</t>
  </si>
  <si>
    <t>RESEARCH STAFF</t>
  </si>
  <si>
    <t>ACCOUNTS STAFF</t>
  </si>
  <si>
    <t>Dr. Akua Boakyewaa Konadu</t>
  </si>
  <si>
    <t>Ms. Afua Nyarkuaa Amofa</t>
  </si>
  <si>
    <t>School Administrator</t>
  </si>
  <si>
    <t>Ms. Comfort Odjablah</t>
  </si>
  <si>
    <t>DRIVERS</t>
  </si>
  <si>
    <t>Ms. Doris Agbo</t>
  </si>
  <si>
    <t>Transport</t>
  </si>
  <si>
    <r>
      <rPr>
        <sz val="28"/>
        <color theme="1"/>
        <rFont val="Cambria"/>
        <family val="1"/>
      </rPr>
      <t xml:space="preserve">Administration      </t>
    </r>
    <r>
      <rPr>
        <b/>
        <sz val="28"/>
        <color theme="1"/>
        <rFont val="Cambria"/>
        <family val="1"/>
      </rPr>
      <t xml:space="preserve">                           </t>
    </r>
  </si>
  <si>
    <t xml:space="preserve">Cashier </t>
  </si>
  <si>
    <t>Mr. Ebenezer Abban</t>
  </si>
  <si>
    <t>Mr. Antwi Aboagye</t>
  </si>
  <si>
    <t>Mr. James Kintinkawe</t>
  </si>
  <si>
    <t>Mr. Albert Larbi</t>
  </si>
  <si>
    <t>Mr. Awal Salifu</t>
  </si>
  <si>
    <t>Principal IT</t>
  </si>
  <si>
    <t>IT</t>
  </si>
  <si>
    <t>Mr. Emmanuel Tanor</t>
  </si>
  <si>
    <t>Account</t>
  </si>
  <si>
    <t>Ms.  Eyram Djormeku</t>
  </si>
  <si>
    <t>Chief Dental Technologist</t>
  </si>
  <si>
    <t>Mr. Victor Kuuku Mensah</t>
  </si>
  <si>
    <t xml:space="preserve"> Oral Pathology</t>
  </si>
  <si>
    <t>Head</t>
  </si>
  <si>
    <t>Mr Micheal Teye</t>
  </si>
  <si>
    <t>Mr. Richard Osei</t>
  </si>
  <si>
    <t>Mr. Samuel N.K. Tetteh</t>
  </si>
  <si>
    <t>Mr. Clement Akuribire</t>
  </si>
  <si>
    <t>Mr.Gordon Lana-Ire</t>
  </si>
  <si>
    <t>Ms. Theresa Taylor</t>
  </si>
  <si>
    <t>Mr. Francis Acquah</t>
  </si>
  <si>
    <t>Mr. Daniel Gyansah</t>
  </si>
  <si>
    <t>Mr. Raymond Osei-Tutu</t>
  </si>
  <si>
    <t>WOI Daniel Shiamatey</t>
  </si>
  <si>
    <t>Mr. Emmanuel Adu Amoah</t>
  </si>
  <si>
    <t>Senior Laboratory Technician</t>
  </si>
  <si>
    <t>Oral Pathology</t>
  </si>
  <si>
    <t>Mr. Emmanuel Asamoah</t>
  </si>
  <si>
    <t>Laboratory Technologist</t>
  </si>
  <si>
    <t>Mr. Prosper Darku Yao</t>
  </si>
  <si>
    <t>Eric Baidoo</t>
  </si>
  <si>
    <t>Driver</t>
  </si>
  <si>
    <t>Ms. Christabel Oforiwa Vidza</t>
  </si>
  <si>
    <t>Mr. Adamu Abubakar Kabah</t>
  </si>
  <si>
    <t>Prinicipal Accounting Assistant</t>
  </si>
  <si>
    <t>Prof. Sandra Hewlett</t>
  </si>
  <si>
    <t>Mr. Kwame Tokpoo</t>
  </si>
  <si>
    <t>Ms. Hanna Ajono</t>
  </si>
  <si>
    <t>Dean/Associate Professor</t>
  </si>
  <si>
    <t>Procument</t>
  </si>
  <si>
    <t>Michael Adu Apeadu</t>
  </si>
  <si>
    <t>Ms. Sampong Yaa Darkoah</t>
  </si>
  <si>
    <t>Biomaterial Sciences</t>
  </si>
  <si>
    <t>Dr. Victoria Afi Buckman</t>
  </si>
  <si>
    <t>Dr. Denise Aprese</t>
  </si>
  <si>
    <t>Mr. James Akuaku Abeka</t>
  </si>
  <si>
    <t>Isaac Gyan</t>
  </si>
  <si>
    <t>OTHERS</t>
  </si>
  <si>
    <t>Dental Dean's Office</t>
  </si>
  <si>
    <t xml:space="preserve">Dental - HOD's Secretariat </t>
  </si>
  <si>
    <t>Dental - HOD’s Secretariat</t>
  </si>
  <si>
    <t>CLINIC STAFF</t>
  </si>
  <si>
    <t>DATE OF BIRTH</t>
  </si>
  <si>
    <t>Works Superintendent</t>
  </si>
  <si>
    <t>Mr. Isaac Gabor</t>
  </si>
  <si>
    <t>AGE</t>
  </si>
  <si>
    <t>Mr. Samuel Addo-Yeboah</t>
  </si>
  <si>
    <t>Ms. Asmawu Shaibu</t>
  </si>
  <si>
    <t>Ms Ruby Animah Adomako-Kwabia</t>
  </si>
  <si>
    <t>Ms. Elizabeth Dwamena Akenten</t>
  </si>
  <si>
    <t>Mrs. Christine Mprah Boateng</t>
  </si>
  <si>
    <t>Ms. Beatrice Quaye Okine</t>
  </si>
  <si>
    <t xml:space="preserve">Procurement Assistant </t>
  </si>
  <si>
    <t>Ms. Howsatu Amadu</t>
  </si>
  <si>
    <t>Mr. Joseph Honny</t>
  </si>
  <si>
    <t>MESSENGERS/CLEANERS</t>
  </si>
  <si>
    <t>STAFF LIST - DENTAL SCHOOL</t>
  </si>
  <si>
    <t>Dr. Josephine Sackeyfio</t>
  </si>
  <si>
    <t>Admin. Assist</t>
  </si>
  <si>
    <t>Technical Assistant Grade II</t>
  </si>
  <si>
    <t>Mr. Samuel Lamptey Teye</t>
  </si>
  <si>
    <t>Dr. Sarah Akua Osafo</t>
  </si>
  <si>
    <t>Prof. P. C. Ampofo</t>
  </si>
  <si>
    <t>Prof. Matthew Owusu Boamah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</si>
</sst>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28"/>
      <color theme="1"/>
      <name val="Cambria"/>
      <family val="1"/>
    </font>
    <font>
      <b/>
      <sz val="28"/>
      <color theme="1"/>
      <name val="Cambria"/>
      <family val="1"/>
    </font>
    <font>
      <sz val="20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20"/>
      <color rgb="FF000000"/>
      <name val="Cambria"/>
      <family val="1"/>
    </font>
    <font>
      <sz val="28"/>
      <color theme="1"/>
      <name val="Cambria"/>
      <family val="1"/>
      <scheme val="major"/>
    </font>
    <font>
      <sz val="12"/>
      <color rgb="FFFF0000"/>
      <name val="Calibri"/>
      <family val="2"/>
      <scheme val="minor"/>
    </font>
    <font>
      <sz val="28"/>
      <name val="Cambria"/>
      <family val="1"/>
    </font>
    <font>
      <b/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name val="Cambria"/>
      <family val="1"/>
      <scheme val="major"/>
    </font>
    <font>
      <sz val="12"/>
      <color rgb="FF000000"/>
      <name val="Cambria"/>
      <family val="1"/>
    </font>
    <font>
      <sz val="2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indexed="81"/>
      <name val="Tahoma"/>
      <family val="2"/>
    </font>
    <font>
      <b/>
      <sz val="10"/>
      <color indexed="81"/>
      <name val="Tahoma"/>
      <family val="2"/>
    </font>
    <font>
      <b/>
      <sz val="16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/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12" fillId="0" borderId="0" xfId="0" applyFont="1"/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3" borderId="0" xfId="0" applyFont="1" applyFill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vertical="center"/>
    </xf>
    <xf numFmtId="0" fontId="8" fillId="4" borderId="1" xfId="0" applyFont="1" applyFill="1" applyBorder="1"/>
    <xf numFmtId="0" fontId="10" fillId="4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9" fillId="0" borderId="1" xfId="0" applyFont="1" applyBorder="1"/>
    <xf numFmtId="14" fontId="15" fillId="0" borderId="0" xfId="0" applyNumberFormat="1" applyFont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2" borderId="1" xfId="0" applyFont="1" applyFill="1" applyBorder="1"/>
    <xf numFmtId="15" fontId="15" fillId="0" borderId="0" xfId="0" applyNumberFormat="1" applyFont="1"/>
    <xf numFmtId="0" fontId="9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14" fontId="15" fillId="2" borderId="0" xfId="0" applyNumberFormat="1" applyFont="1" applyFill="1" applyAlignment="1">
      <alignment horizontal="left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16" fillId="0" borderId="1" xfId="0" applyFont="1" applyBorder="1"/>
    <xf numFmtId="0" fontId="15" fillId="2" borderId="0" xfId="0" applyFont="1" applyFill="1"/>
    <xf numFmtId="0" fontId="14" fillId="0" borderId="7" xfId="0" applyFont="1" applyBorder="1" applyAlignment="1">
      <alignment horizontal="center"/>
    </xf>
    <xf numFmtId="0" fontId="15" fillId="3" borderId="0" xfId="0" applyFont="1" applyFill="1"/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9" fillId="0" borderId="5" xfId="0" applyFont="1" applyBorder="1"/>
    <xf numFmtId="0" fontId="16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9" fillId="0" borderId="3" xfId="0" applyFont="1" applyBorder="1"/>
    <xf numFmtId="0" fontId="4" fillId="0" borderId="1" xfId="0" applyFont="1" applyBorder="1"/>
    <xf numFmtId="14" fontId="9" fillId="0" borderId="1" xfId="0" applyNumberFormat="1" applyFont="1" applyBorder="1" applyAlignment="1">
      <alignment horizontal="left"/>
    </xf>
    <xf numFmtId="0" fontId="15" fillId="0" borderId="1" xfId="0" applyFont="1" applyBorder="1"/>
    <xf numFmtId="0" fontId="18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wrapText="1"/>
    </xf>
    <xf numFmtId="0" fontId="9" fillId="2" borderId="3" xfId="0" applyFont="1" applyFill="1" applyBorder="1"/>
    <xf numFmtId="0" fontId="22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1" fontId="6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/>
    </xf>
    <xf numFmtId="14" fontId="9" fillId="3" borderId="1" xfId="0" applyNumberFormat="1" applyFont="1" applyFill="1" applyBorder="1"/>
    <xf numFmtId="0" fontId="16" fillId="2" borderId="9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 wrapText="1"/>
    </xf>
    <xf numFmtId="0" fontId="22" fillId="5" borderId="1" xfId="0" applyFont="1" applyFill="1" applyBorder="1" applyAlignment="1">
      <alignment horizontal="center"/>
    </xf>
    <xf numFmtId="0" fontId="9" fillId="5" borderId="5" xfId="0" applyFont="1" applyFill="1" applyBorder="1"/>
    <xf numFmtId="0" fontId="9" fillId="5" borderId="1" xfId="0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0" xfId="0" applyNumberFormat="1" applyFont="1"/>
    <xf numFmtId="164" fontId="9" fillId="0" borderId="8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164" fontId="9" fillId="0" borderId="1" xfId="0" applyNumberFormat="1" applyFont="1" applyBorder="1"/>
    <xf numFmtId="164" fontId="4" fillId="0" borderId="0" xfId="0" applyNumberFormat="1" applyFont="1"/>
    <xf numFmtId="164" fontId="4" fillId="0" borderId="1" xfId="0" applyNumberFormat="1" applyFont="1" applyBorder="1"/>
    <xf numFmtId="164" fontId="9" fillId="0" borderId="6" xfId="0" applyNumberFormat="1" applyFont="1" applyBorder="1"/>
    <xf numFmtId="164" fontId="3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/>
    <xf numFmtId="164" fontId="6" fillId="0" borderId="1" xfId="0" applyNumberFormat="1" applyFont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4" fontId="7" fillId="0" borderId="1" xfId="0" applyNumberFormat="1" applyFont="1" applyBorder="1"/>
    <xf numFmtId="0" fontId="9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164" fontId="9" fillId="6" borderId="1" xfId="0" applyNumberFormat="1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/>
    </xf>
    <xf numFmtId="0" fontId="14" fillId="0" borderId="10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0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zoomScale="40" zoomScaleNormal="40" zoomScaleSheetLayoutView="48" workbookViewId="0">
      <selection activeCell="C49" sqref="C49"/>
    </sheetView>
  </sheetViews>
  <sheetFormatPr defaultColWidth="9.15625" defaultRowHeight="15.3" x14ac:dyDescent="0.55000000000000004"/>
  <cols>
    <col min="1" max="1" width="15.41796875" style="2" customWidth="1"/>
    <col min="2" max="2" width="81.15625" style="1" bestFit="1" customWidth="1"/>
    <col min="3" max="3" width="64.578125" style="1" bestFit="1" customWidth="1"/>
    <col min="4" max="4" width="78.26171875" style="1" customWidth="1"/>
    <col min="5" max="5" width="128.83984375" style="109" customWidth="1"/>
    <col min="6" max="6" width="35.41796875" style="1" customWidth="1"/>
    <col min="7" max="7" width="73.578125" style="1" customWidth="1"/>
    <col min="8" max="16384" width="9.15625" style="1"/>
  </cols>
  <sheetData>
    <row r="1" spans="1:6" s="9" customFormat="1" ht="41.25" customHeight="1" x14ac:dyDescent="1.1000000000000001">
      <c r="A1" s="133" t="s">
        <v>242</v>
      </c>
      <c r="B1" s="133"/>
      <c r="C1" s="133"/>
      <c r="D1" s="133"/>
      <c r="E1" s="133"/>
      <c r="F1" s="133"/>
    </row>
    <row r="2" spans="1:6" s="9" customFormat="1" ht="53.25" customHeight="1" x14ac:dyDescent="1.1000000000000001">
      <c r="A2" s="134" t="s">
        <v>0</v>
      </c>
      <c r="B2" s="134"/>
      <c r="C2" s="134"/>
      <c r="D2" s="134"/>
      <c r="E2" s="134"/>
      <c r="F2" s="134"/>
    </row>
    <row r="3" spans="1:6" s="9" customFormat="1" ht="43.5" customHeight="1" x14ac:dyDescent="1.1000000000000001">
      <c r="A3" s="10" t="s">
        <v>1</v>
      </c>
      <c r="B3" s="10" t="s">
        <v>2</v>
      </c>
      <c r="C3" s="10" t="s">
        <v>3</v>
      </c>
      <c r="D3" s="10" t="s">
        <v>4</v>
      </c>
      <c r="E3" s="115" t="s">
        <v>228</v>
      </c>
      <c r="F3" s="64" t="s">
        <v>231</v>
      </c>
    </row>
    <row r="4" spans="1:6" s="9" customFormat="1" ht="60.75" customHeight="1" x14ac:dyDescent="1.1000000000000001">
      <c r="A4" s="11">
        <v>1</v>
      </c>
      <c r="B4" s="12" t="s">
        <v>211</v>
      </c>
      <c r="C4" s="12" t="s">
        <v>214</v>
      </c>
      <c r="D4" s="11" t="s">
        <v>17</v>
      </c>
      <c r="E4" s="110">
        <v>26187</v>
      </c>
      <c r="F4" s="67">
        <f ca="1">DATEDIF(E4,TODAY(),"Y")</f>
        <v>55</v>
      </c>
    </row>
    <row r="5" spans="1:6" s="9" customFormat="1" ht="57" customHeight="1" x14ac:dyDescent="1.1000000000000001">
      <c r="A5" s="74">
        <v>2</v>
      </c>
      <c r="B5" s="75" t="s">
        <v>248</v>
      </c>
      <c r="C5" s="75" t="s">
        <v>7</v>
      </c>
      <c r="D5" s="74" t="s">
        <v>17</v>
      </c>
      <c r="E5" s="111">
        <v>24081</v>
      </c>
      <c r="F5" s="76">
        <f t="shared" ref="F5:F24" ca="1" si="0">DATEDIF(E5,TODAY(),"Y")</f>
        <v>60</v>
      </c>
    </row>
    <row r="6" spans="1:6" s="9" customFormat="1" ht="62.25" customHeight="1" x14ac:dyDescent="1.1000000000000001">
      <c r="A6" s="11">
        <v>3</v>
      </c>
      <c r="B6" s="12" t="s">
        <v>16</v>
      </c>
      <c r="C6" s="12" t="s">
        <v>10</v>
      </c>
      <c r="D6" s="11" t="s">
        <v>17</v>
      </c>
      <c r="E6" s="110">
        <v>20066</v>
      </c>
      <c r="F6" s="67">
        <f t="shared" ca="1" si="0"/>
        <v>71</v>
      </c>
    </row>
    <row r="7" spans="1:6" s="9" customFormat="1" ht="57" customHeight="1" x14ac:dyDescent="1.1000000000000001">
      <c r="A7" s="11">
        <v>4</v>
      </c>
      <c r="B7" s="13" t="s">
        <v>249</v>
      </c>
      <c r="C7" s="13" t="s">
        <v>7</v>
      </c>
      <c r="D7" s="11" t="s">
        <v>8</v>
      </c>
      <c r="E7" s="110">
        <v>25976</v>
      </c>
      <c r="F7" s="67">
        <f t="shared" ca="1" si="0"/>
        <v>55</v>
      </c>
    </row>
    <row r="8" spans="1:6" s="9" customFormat="1" ht="63.75" customHeight="1" x14ac:dyDescent="1.1000000000000001">
      <c r="A8" s="11">
        <v>5</v>
      </c>
      <c r="B8" s="12" t="s">
        <v>18</v>
      </c>
      <c r="C8" s="12" t="s">
        <v>7</v>
      </c>
      <c r="D8" s="11" t="s">
        <v>113</v>
      </c>
      <c r="E8" s="110">
        <v>25627</v>
      </c>
      <c r="F8" s="67">
        <f t="shared" ca="1" si="0"/>
        <v>56</v>
      </c>
    </row>
    <row r="9" spans="1:6" s="9" customFormat="1" ht="57.75" customHeight="1" x14ac:dyDescent="1.1000000000000001">
      <c r="A9" s="11">
        <v>6</v>
      </c>
      <c r="B9" s="12" t="s">
        <v>140</v>
      </c>
      <c r="C9" s="12" t="s">
        <v>7</v>
      </c>
      <c r="D9" s="11" t="s">
        <v>19</v>
      </c>
      <c r="E9" s="110">
        <v>21419</v>
      </c>
      <c r="F9" s="67">
        <f t="shared" ca="1" si="0"/>
        <v>68</v>
      </c>
    </row>
    <row r="10" spans="1:6" s="9" customFormat="1" ht="60" customHeight="1" x14ac:dyDescent="1.1000000000000001">
      <c r="A10" s="11">
        <v>7</v>
      </c>
      <c r="B10" s="12" t="s">
        <v>20</v>
      </c>
      <c r="C10" s="12" t="s">
        <v>21</v>
      </c>
      <c r="D10" s="11" t="s">
        <v>22</v>
      </c>
      <c r="E10" s="110">
        <v>27412</v>
      </c>
      <c r="F10" s="67">
        <f t="shared" ca="1" si="0"/>
        <v>51</v>
      </c>
    </row>
    <row r="11" spans="1:6" s="9" customFormat="1" ht="60.75" customHeight="1" x14ac:dyDescent="1.1000000000000001">
      <c r="A11" s="11">
        <v>8</v>
      </c>
      <c r="B11" s="13" t="s">
        <v>145</v>
      </c>
      <c r="C11" s="13" t="s">
        <v>7</v>
      </c>
      <c r="D11" s="11" t="s">
        <v>146</v>
      </c>
      <c r="E11" s="110">
        <v>27080</v>
      </c>
      <c r="F11" s="67">
        <f t="shared" ca="1" si="0"/>
        <v>52</v>
      </c>
    </row>
    <row r="12" spans="1:6" s="9" customFormat="1" ht="69" customHeight="1" x14ac:dyDescent="1.1000000000000001">
      <c r="A12" s="11">
        <v>9</v>
      </c>
      <c r="B12" s="12" t="s">
        <v>23</v>
      </c>
      <c r="C12" s="12" t="s">
        <v>7</v>
      </c>
      <c r="D12" s="11" t="s">
        <v>24</v>
      </c>
      <c r="E12" s="110">
        <v>27785</v>
      </c>
      <c r="F12" s="67">
        <f t="shared" ca="1" si="0"/>
        <v>50</v>
      </c>
    </row>
    <row r="13" spans="1:6" s="9" customFormat="1" ht="63" customHeight="1" x14ac:dyDescent="1.1000000000000001">
      <c r="A13" s="11">
        <v>10</v>
      </c>
      <c r="B13" s="12" t="s">
        <v>26</v>
      </c>
      <c r="C13" s="12" t="s">
        <v>27</v>
      </c>
      <c r="D13" s="11" t="s">
        <v>25</v>
      </c>
      <c r="E13" s="110">
        <v>22472</v>
      </c>
      <c r="F13" s="67">
        <f t="shared" ca="1" si="0"/>
        <v>65</v>
      </c>
    </row>
    <row r="14" spans="1:6" s="9" customFormat="1" ht="61.5" customHeight="1" x14ac:dyDescent="1.1000000000000001">
      <c r="A14" s="11">
        <v>11</v>
      </c>
      <c r="B14" s="12" t="s">
        <v>28</v>
      </c>
      <c r="C14" s="12" t="s">
        <v>7</v>
      </c>
      <c r="D14" s="11" t="s">
        <v>218</v>
      </c>
      <c r="E14" s="110">
        <v>26121</v>
      </c>
      <c r="F14" s="67">
        <f t="shared" ca="1" si="0"/>
        <v>55</v>
      </c>
    </row>
    <row r="15" spans="1:6" s="9" customFormat="1" ht="58.5" customHeight="1" x14ac:dyDescent="1.1000000000000001">
      <c r="A15" s="11">
        <v>12</v>
      </c>
      <c r="B15" s="12" t="s">
        <v>29</v>
      </c>
      <c r="C15" s="12" t="s">
        <v>7</v>
      </c>
      <c r="D15" s="11" t="s">
        <v>15</v>
      </c>
      <c r="E15" s="110">
        <v>21946</v>
      </c>
      <c r="F15" s="67">
        <f ca="1">DATEDIF(E15,TODAY(),"Y")</f>
        <v>66</v>
      </c>
    </row>
    <row r="16" spans="1:6" s="9" customFormat="1" ht="55.5" customHeight="1" x14ac:dyDescent="1.1000000000000001">
      <c r="A16" s="11">
        <v>13</v>
      </c>
      <c r="B16" s="13" t="s">
        <v>219</v>
      </c>
      <c r="C16" s="13" t="s">
        <v>7</v>
      </c>
      <c r="D16" s="14" t="s">
        <v>218</v>
      </c>
      <c r="E16" s="110">
        <v>29056</v>
      </c>
      <c r="F16" s="67">
        <f t="shared" ca="1" si="0"/>
        <v>47</v>
      </c>
    </row>
    <row r="17" spans="1:6" s="9" customFormat="1" ht="51" customHeight="1" x14ac:dyDescent="1.1000000000000001">
      <c r="A17" s="11">
        <v>14</v>
      </c>
      <c r="B17" s="13" t="s">
        <v>220</v>
      </c>
      <c r="C17" s="13" t="s">
        <v>21</v>
      </c>
      <c r="D17" s="14" t="s">
        <v>218</v>
      </c>
      <c r="E17" s="110">
        <v>30458</v>
      </c>
      <c r="F17" s="67">
        <f t="shared" ca="1" si="0"/>
        <v>43</v>
      </c>
    </row>
    <row r="18" spans="1:6" s="9" customFormat="1" ht="51" customHeight="1" x14ac:dyDescent="1.1000000000000001">
      <c r="A18" s="11">
        <v>15</v>
      </c>
      <c r="B18" s="23" t="s">
        <v>247</v>
      </c>
      <c r="C18" s="23" t="s">
        <v>30</v>
      </c>
      <c r="D18" s="24" t="s">
        <v>15</v>
      </c>
      <c r="E18" s="110">
        <v>32617</v>
      </c>
      <c r="F18" s="67">
        <f t="shared" ca="1" si="0"/>
        <v>37</v>
      </c>
    </row>
    <row r="19" spans="1:6" s="9" customFormat="1" ht="55.5" customHeight="1" x14ac:dyDescent="1.1000000000000001">
      <c r="A19" s="11">
        <v>16</v>
      </c>
      <c r="B19" s="13" t="s">
        <v>167</v>
      </c>
      <c r="C19" s="13" t="s">
        <v>7</v>
      </c>
      <c r="D19" s="14" t="s">
        <v>14</v>
      </c>
      <c r="E19" s="110">
        <v>29208</v>
      </c>
      <c r="F19" s="67">
        <f t="shared" ca="1" si="0"/>
        <v>46</v>
      </c>
    </row>
    <row r="20" spans="1:6" s="9" customFormat="1" ht="55.5" customHeight="1" x14ac:dyDescent="1.1000000000000001">
      <c r="A20" s="11">
        <v>17</v>
      </c>
      <c r="B20" s="16" t="s">
        <v>137</v>
      </c>
      <c r="C20" s="16" t="s">
        <v>30</v>
      </c>
      <c r="D20" s="17" t="s">
        <v>14</v>
      </c>
      <c r="E20" s="112">
        <v>33112</v>
      </c>
      <c r="F20" s="67">
        <f t="shared" ca="1" si="0"/>
        <v>36</v>
      </c>
    </row>
    <row r="21" spans="1:6" s="9" customFormat="1" ht="49.5" customHeight="1" x14ac:dyDescent="1.1000000000000001">
      <c r="A21" s="11">
        <v>18</v>
      </c>
      <c r="B21" s="12" t="s">
        <v>138</v>
      </c>
      <c r="C21" s="12" t="s">
        <v>7</v>
      </c>
      <c r="D21" s="14" t="s">
        <v>139</v>
      </c>
      <c r="E21" s="110">
        <v>26636</v>
      </c>
      <c r="F21" s="67">
        <f t="shared" ca="1" si="0"/>
        <v>53</v>
      </c>
    </row>
    <row r="22" spans="1:6" s="9" customFormat="1" ht="49.5" customHeight="1" x14ac:dyDescent="1.1000000000000001">
      <c r="A22" s="92">
        <v>19</v>
      </c>
      <c r="B22" s="93" t="s">
        <v>110</v>
      </c>
      <c r="C22" s="93" t="s">
        <v>112</v>
      </c>
      <c r="D22" s="94" t="s">
        <v>111</v>
      </c>
      <c r="E22" s="113">
        <v>24833</v>
      </c>
      <c r="F22" s="95">
        <f t="shared" ca="1" si="0"/>
        <v>58</v>
      </c>
    </row>
    <row r="23" spans="1:6" s="8" customFormat="1" ht="46.5" customHeight="1" x14ac:dyDescent="1.1000000000000001">
      <c r="A23" s="11">
        <v>20</v>
      </c>
      <c r="B23" s="18" t="s">
        <v>118</v>
      </c>
      <c r="C23" s="19" t="s">
        <v>174</v>
      </c>
      <c r="D23" s="14" t="s">
        <v>169</v>
      </c>
      <c r="E23" s="114">
        <v>26376</v>
      </c>
      <c r="F23" s="67">
        <f t="shared" ca="1" si="0"/>
        <v>54</v>
      </c>
    </row>
    <row r="24" spans="1:6" ht="55.5" customHeight="1" x14ac:dyDescent="1.1000000000000001">
      <c r="A24" s="11">
        <v>21</v>
      </c>
      <c r="B24" s="18" t="s">
        <v>240</v>
      </c>
      <c r="C24" s="18" t="s">
        <v>104</v>
      </c>
      <c r="D24" s="14" t="s">
        <v>150</v>
      </c>
      <c r="E24" s="114">
        <v>32351</v>
      </c>
      <c r="F24" s="67">
        <f t="shared" ca="1" si="0"/>
        <v>38</v>
      </c>
    </row>
    <row r="25" spans="1:6" s="3" customFormat="1" ht="24.75" customHeight="1" x14ac:dyDescent="0.6">
      <c r="A25" s="29"/>
      <c r="E25" s="107"/>
      <c r="F25" s="5"/>
    </row>
    <row r="26" spans="1:6" s="3" customFormat="1" ht="42.75" hidden="1" customHeight="1" x14ac:dyDescent="0.6">
      <c r="A26" s="29"/>
      <c r="E26" s="107"/>
      <c r="F26" s="5"/>
    </row>
    <row r="27" spans="1:6" s="3" customFormat="1" ht="27.75" customHeight="1" x14ac:dyDescent="0.6">
      <c r="A27" s="29"/>
      <c r="E27" s="107"/>
      <c r="F27" s="5"/>
    </row>
    <row r="28" spans="1:6" s="3" customFormat="1" ht="36" hidden="1" customHeight="1" x14ac:dyDescent="0.6">
      <c r="E28" s="107"/>
      <c r="F28" s="5"/>
    </row>
    <row r="29" spans="1:6" s="3" customFormat="1" ht="36" hidden="1" customHeight="1" x14ac:dyDescent="0.6">
      <c r="E29" s="107"/>
      <c r="F29" s="5"/>
    </row>
    <row r="30" spans="1:6" s="3" customFormat="1" ht="27.75" customHeight="1" x14ac:dyDescent="0.6">
      <c r="E30" s="107"/>
      <c r="F30" s="5"/>
    </row>
    <row r="31" spans="1:6" s="3" customFormat="1" ht="30.75" customHeight="1" x14ac:dyDescent="0.6">
      <c r="E31" s="107"/>
      <c r="F31" s="5"/>
    </row>
    <row r="32" spans="1:6" s="3" customFormat="1" ht="73.5" customHeight="1" x14ac:dyDescent="1.2">
      <c r="A32" s="62">
        <v>1</v>
      </c>
      <c r="B32" s="13" t="s">
        <v>243</v>
      </c>
      <c r="C32" s="13" t="s">
        <v>21</v>
      </c>
      <c r="D32" s="11" t="s">
        <v>25</v>
      </c>
      <c r="E32" s="114">
        <v>19495</v>
      </c>
      <c r="F32" s="65">
        <f ca="1">DATEDIF(E32,TODAY(),"Y")</f>
        <v>73</v>
      </c>
    </row>
    <row r="33" spans="1:6" s="3" customFormat="1" ht="61.5" customHeight="1" x14ac:dyDescent="1.1000000000000001">
      <c r="A33" s="26">
        <v>2</v>
      </c>
      <c r="B33" s="12" t="s">
        <v>6</v>
      </c>
      <c r="C33" s="12" t="s">
        <v>7</v>
      </c>
      <c r="D33" s="11" t="s">
        <v>8</v>
      </c>
      <c r="E33" s="114">
        <v>20344</v>
      </c>
      <c r="F33" s="65">
        <f ca="1">DATEDIF(E33,TODAY(),"Y")</f>
        <v>71</v>
      </c>
    </row>
    <row r="34" spans="1:6" s="9" customFormat="1" ht="69.75" customHeight="1" x14ac:dyDescent="1.1000000000000001">
      <c r="A34" s="28">
        <v>3</v>
      </c>
      <c r="B34" s="12" t="s">
        <v>9</v>
      </c>
      <c r="C34" s="12" t="s">
        <v>10</v>
      </c>
      <c r="D34" s="11" t="s">
        <v>8</v>
      </c>
      <c r="E34" s="110">
        <v>19856</v>
      </c>
      <c r="F34" s="65">
        <f t="shared" ref="F34:F36" ca="1" si="1">DATEDIF(E34,TODAY(),"Y")</f>
        <v>72</v>
      </c>
    </row>
    <row r="35" spans="1:6" s="9" customFormat="1" ht="51.75" customHeight="1" x14ac:dyDescent="1.1000000000000001">
      <c r="A35" s="28">
        <v>4</v>
      </c>
      <c r="B35" s="27" t="s">
        <v>11</v>
      </c>
      <c r="C35" s="27" t="s">
        <v>7</v>
      </c>
      <c r="D35" s="28" t="s">
        <v>12</v>
      </c>
      <c r="E35" s="110">
        <v>20023</v>
      </c>
      <c r="F35" s="65">
        <f t="shared" ca="1" si="1"/>
        <v>71</v>
      </c>
    </row>
    <row r="36" spans="1:6" s="3" customFormat="1" ht="64.5" customHeight="1" x14ac:dyDescent="1.1000000000000001">
      <c r="A36" s="26">
        <v>5</v>
      </c>
      <c r="B36" s="12" t="s">
        <v>13</v>
      </c>
      <c r="C36" s="12" t="s">
        <v>10</v>
      </c>
      <c r="D36" s="11" t="s">
        <v>14</v>
      </c>
      <c r="E36" s="114">
        <v>19036</v>
      </c>
      <c r="F36" s="65">
        <f t="shared" ca="1" si="1"/>
        <v>74</v>
      </c>
    </row>
    <row r="37" spans="1:6" s="3" customFormat="1" ht="60.75" customHeight="1" x14ac:dyDescent="0.6">
      <c r="A37" s="63"/>
      <c r="E37" s="107"/>
    </row>
    <row r="38" spans="1:6" s="3" customFormat="1" ht="36" customHeight="1" x14ac:dyDescent="0.6">
      <c r="E38" s="107"/>
    </row>
    <row r="39" spans="1:6" s="3" customFormat="1" ht="36" customHeight="1" x14ac:dyDescent="0.6">
      <c r="E39" s="107"/>
    </row>
    <row r="40" spans="1:6" s="3" customFormat="1" ht="36" customHeight="1" x14ac:dyDescent="0.6">
      <c r="E40" s="107"/>
    </row>
    <row r="41" spans="1:6" s="3" customFormat="1" ht="36" customHeight="1" x14ac:dyDescent="0.6">
      <c r="E41" s="107"/>
    </row>
    <row r="42" spans="1:6" s="3" customFormat="1" ht="36" customHeight="1" x14ac:dyDescent="0.6">
      <c r="E42" s="107"/>
    </row>
    <row r="43" spans="1:6" s="3" customFormat="1" ht="36" customHeight="1" x14ac:dyDescent="0.6">
      <c r="E43" s="107"/>
    </row>
    <row r="44" spans="1:6" s="3" customFormat="1" ht="36" customHeight="1" x14ac:dyDescent="0.6">
      <c r="E44" s="107"/>
    </row>
    <row r="45" spans="1:6" s="3" customFormat="1" ht="36" customHeight="1" x14ac:dyDescent="0.6">
      <c r="E45" s="107"/>
    </row>
    <row r="46" spans="1:6" s="3" customFormat="1" ht="36" customHeight="1" x14ac:dyDescent="0.6">
      <c r="E46" s="107"/>
    </row>
    <row r="47" spans="1:6" s="3" customFormat="1" ht="36" customHeight="1" x14ac:dyDescent="0.6">
      <c r="E47" s="107"/>
    </row>
    <row r="48" spans="1:6" s="3" customFormat="1" ht="36" customHeight="1" x14ac:dyDescent="0.6">
      <c r="E48" s="107"/>
    </row>
    <row r="49" spans="5:5" s="3" customFormat="1" ht="36" customHeight="1" x14ac:dyDescent="0.6">
      <c r="E49" s="107"/>
    </row>
    <row r="50" spans="5:5" s="3" customFormat="1" ht="36" customHeight="1" x14ac:dyDescent="0.6">
      <c r="E50" s="107"/>
    </row>
    <row r="51" spans="5:5" s="3" customFormat="1" ht="36" customHeight="1" x14ac:dyDescent="0.6">
      <c r="E51" s="107"/>
    </row>
    <row r="52" spans="5:5" s="3" customFormat="1" ht="36" customHeight="1" x14ac:dyDescent="0.6">
      <c r="E52" s="107"/>
    </row>
    <row r="53" spans="5:5" s="3" customFormat="1" ht="36" customHeight="1" x14ac:dyDescent="0.6">
      <c r="E53" s="107"/>
    </row>
    <row r="54" spans="5:5" s="3" customFormat="1" ht="36" customHeight="1" x14ac:dyDescent="0.6">
      <c r="E54" s="107"/>
    </row>
    <row r="55" spans="5:5" s="3" customFormat="1" ht="36" customHeight="1" x14ac:dyDescent="0.6">
      <c r="E55" s="107"/>
    </row>
    <row r="56" spans="5:5" s="3" customFormat="1" ht="36" customHeight="1" x14ac:dyDescent="0.6">
      <c r="E56" s="107"/>
    </row>
    <row r="57" spans="5:5" s="3" customFormat="1" ht="36" customHeight="1" x14ac:dyDescent="0.6">
      <c r="E57" s="107"/>
    </row>
    <row r="58" spans="5:5" s="3" customFormat="1" ht="36" customHeight="1" x14ac:dyDescent="0.6">
      <c r="E58" s="107"/>
    </row>
    <row r="59" spans="5:5" s="3" customFormat="1" ht="36" customHeight="1" x14ac:dyDescent="0.6">
      <c r="E59" s="107"/>
    </row>
    <row r="60" spans="5:5" s="3" customFormat="1" ht="36" customHeight="1" x14ac:dyDescent="0.6">
      <c r="E60" s="107"/>
    </row>
    <row r="61" spans="5:5" s="3" customFormat="1" ht="36" customHeight="1" x14ac:dyDescent="0.6">
      <c r="E61" s="107"/>
    </row>
    <row r="62" spans="5:5" s="3" customFormat="1" ht="36" customHeight="1" x14ac:dyDescent="0.6">
      <c r="E62" s="107"/>
    </row>
    <row r="63" spans="5:5" s="3" customFormat="1" ht="36" customHeight="1" x14ac:dyDescent="0.6">
      <c r="E63" s="107"/>
    </row>
    <row r="64" spans="5:5" s="3" customFormat="1" ht="36" customHeight="1" x14ac:dyDescent="0.6">
      <c r="E64" s="107"/>
    </row>
    <row r="65" spans="5:5" s="3" customFormat="1" ht="36" customHeight="1" x14ac:dyDescent="0.6">
      <c r="E65" s="107"/>
    </row>
    <row r="66" spans="5:5" s="3" customFormat="1" ht="36" customHeight="1" x14ac:dyDescent="0.6">
      <c r="E66" s="107"/>
    </row>
    <row r="67" spans="5:5" s="3" customFormat="1" ht="36" customHeight="1" x14ac:dyDescent="0.6">
      <c r="E67" s="107"/>
    </row>
    <row r="68" spans="5:5" s="3" customFormat="1" ht="36" customHeight="1" x14ac:dyDescent="0.6">
      <c r="E68" s="107"/>
    </row>
    <row r="69" spans="5:5" s="3" customFormat="1" ht="36" customHeight="1" x14ac:dyDescent="0.6">
      <c r="E69" s="107"/>
    </row>
    <row r="70" spans="5:5" s="3" customFormat="1" ht="36" customHeight="1" x14ac:dyDescent="0.6">
      <c r="E70" s="107"/>
    </row>
    <row r="71" spans="5:5" s="3" customFormat="1" ht="36" customHeight="1" x14ac:dyDescent="0.6">
      <c r="E71" s="107"/>
    </row>
    <row r="72" spans="5:5" s="3" customFormat="1" ht="36" customHeight="1" x14ac:dyDescent="0.6">
      <c r="E72" s="107"/>
    </row>
    <row r="73" spans="5:5" s="3" customFormat="1" ht="36" customHeight="1" x14ac:dyDescent="0.6">
      <c r="E73" s="107"/>
    </row>
    <row r="74" spans="5:5" s="3" customFormat="1" ht="36" customHeight="1" x14ac:dyDescent="0.6">
      <c r="E74" s="107"/>
    </row>
    <row r="75" spans="5:5" s="3" customFormat="1" ht="36" customHeight="1" x14ac:dyDescent="0.6">
      <c r="E75" s="107"/>
    </row>
    <row r="76" spans="5:5" s="3" customFormat="1" ht="36" customHeight="1" x14ac:dyDescent="0.6">
      <c r="E76" s="107"/>
    </row>
    <row r="77" spans="5:5" s="3" customFormat="1" ht="36" customHeight="1" x14ac:dyDescent="0.6">
      <c r="E77" s="107"/>
    </row>
    <row r="78" spans="5:5" s="3" customFormat="1" ht="36" customHeight="1" x14ac:dyDescent="0.6">
      <c r="E78" s="107"/>
    </row>
    <row r="79" spans="5:5" s="3" customFormat="1" ht="36" customHeight="1" x14ac:dyDescent="0.6">
      <c r="E79" s="107"/>
    </row>
    <row r="80" spans="5:5" s="3" customFormat="1" ht="36" customHeight="1" x14ac:dyDescent="0.6">
      <c r="E80" s="107"/>
    </row>
    <row r="81" spans="5:5" s="3" customFormat="1" ht="36" customHeight="1" x14ac:dyDescent="0.6">
      <c r="E81" s="107"/>
    </row>
    <row r="82" spans="5:5" s="3" customFormat="1" ht="36" customHeight="1" x14ac:dyDescent="0.6">
      <c r="E82" s="107"/>
    </row>
    <row r="83" spans="5:5" s="3" customFormat="1" ht="36" customHeight="1" x14ac:dyDescent="0.6">
      <c r="E83" s="107"/>
    </row>
    <row r="84" spans="5:5" s="3" customFormat="1" ht="36" customHeight="1" x14ac:dyDescent="0.6">
      <c r="E84" s="107"/>
    </row>
    <row r="85" spans="5:5" s="3" customFormat="1" ht="36" customHeight="1" x14ac:dyDescent="0.6">
      <c r="E85" s="107"/>
    </row>
    <row r="86" spans="5:5" s="3" customFormat="1" ht="36" customHeight="1" x14ac:dyDescent="0.6">
      <c r="E86" s="107"/>
    </row>
    <row r="87" spans="5:5" s="3" customFormat="1" ht="36" customHeight="1" x14ac:dyDescent="0.6">
      <c r="E87" s="107"/>
    </row>
    <row r="88" spans="5:5" s="3" customFormat="1" ht="36" customHeight="1" x14ac:dyDescent="0.6">
      <c r="E88" s="107"/>
    </row>
    <row r="89" spans="5:5" s="3" customFormat="1" ht="36" customHeight="1" x14ac:dyDescent="0.6">
      <c r="E89" s="107"/>
    </row>
    <row r="90" spans="5:5" s="3" customFormat="1" ht="36" customHeight="1" x14ac:dyDescent="0.6">
      <c r="E90" s="107"/>
    </row>
    <row r="91" spans="5:5" s="3" customFormat="1" ht="36" customHeight="1" x14ac:dyDescent="0.6">
      <c r="E91" s="107"/>
    </row>
    <row r="92" spans="5:5" s="3" customFormat="1" ht="36" customHeight="1" x14ac:dyDescent="0.6">
      <c r="E92" s="107"/>
    </row>
    <row r="93" spans="5:5" s="3" customFormat="1" ht="36" customHeight="1" x14ac:dyDescent="0.6">
      <c r="E93" s="107"/>
    </row>
    <row r="94" spans="5:5" s="3" customFormat="1" ht="36" customHeight="1" x14ac:dyDescent="0.6">
      <c r="E94" s="107"/>
    </row>
    <row r="95" spans="5:5" s="3" customFormat="1" ht="36" customHeight="1" x14ac:dyDescent="0.6">
      <c r="E95" s="107"/>
    </row>
    <row r="96" spans="5:5" s="3" customFormat="1" ht="36" customHeight="1" x14ac:dyDescent="0.6">
      <c r="E96" s="107"/>
    </row>
    <row r="97" spans="5:5" s="3" customFormat="1" ht="36" customHeight="1" x14ac:dyDescent="0.6">
      <c r="E97" s="107"/>
    </row>
    <row r="98" spans="5:5" s="3" customFormat="1" ht="36" customHeight="1" x14ac:dyDescent="0.6">
      <c r="E98" s="107"/>
    </row>
    <row r="99" spans="5:5" s="3" customFormat="1" ht="36" customHeight="1" x14ac:dyDescent="0.6">
      <c r="E99" s="107"/>
    </row>
    <row r="100" spans="5:5" s="3" customFormat="1" ht="36" customHeight="1" x14ac:dyDescent="0.6">
      <c r="E100" s="107"/>
    </row>
    <row r="101" spans="5:5" s="3" customFormat="1" ht="36" customHeight="1" x14ac:dyDescent="0.6">
      <c r="E101" s="107"/>
    </row>
    <row r="102" spans="5:5" s="3" customFormat="1" ht="36" customHeight="1" x14ac:dyDescent="0.6">
      <c r="E102" s="107"/>
    </row>
    <row r="103" spans="5:5" s="3" customFormat="1" ht="36" customHeight="1" x14ac:dyDescent="0.6">
      <c r="E103" s="107"/>
    </row>
    <row r="104" spans="5:5" s="3" customFormat="1" ht="36" customHeight="1" x14ac:dyDescent="0.6">
      <c r="E104" s="107"/>
    </row>
    <row r="105" spans="5:5" s="3" customFormat="1" ht="36" customHeight="1" x14ac:dyDescent="0.6">
      <c r="E105" s="107"/>
    </row>
    <row r="106" spans="5:5" s="3" customFormat="1" ht="36" customHeight="1" x14ac:dyDescent="0.6">
      <c r="E106" s="107"/>
    </row>
    <row r="107" spans="5:5" s="3" customFormat="1" ht="36" customHeight="1" x14ac:dyDescent="0.6">
      <c r="E107" s="107"/>
    </row>
    <row r="108" spans="5:5" s="3" customFormat="1" ht="36" customHeight="1" x14ac:dyDescent="0.6">
      <c r="E108" s="107"/>
    </row>
    <row r="109" spans="5:5" s="3" customFormat="1" ht="36" customHeight="1" x14ac:dyDescent="0.6">
      <c r="E109" s="107"/>
    </row>
    <row r="110" spans="5:5" s="3" customFormat="1" ht="36" customHeight="1" x14ac:dyDescent="0.6">
      <c r="E110" s="107"/>
    </row>
    <row r="111" spans="5:5" s="3" customFormat="1" ht="36" customHeight="1" x14ac:dyDescent="0.6">
      <c r="E111" s="107"/>
    </row>
    <row r="112" spans="5:5" s="3" customFormat="1" ht="36" customHeight="1" x14ac:dyDescent="0.6">
      <c r="E112" s="107"/>
    </row>
    <row r="113" spans="1:5" s="3" customFormat="1" ht="36" customHeight="1" x14ac:dyDescent="0.6">
      <c r="E113" s="107"/>
    </row>
    <row r="114" spans="1:5" s="3" customFormat="1" ht="36" customHeight="1" x14ac:dyDescent="0.6">
      <c r="E114" s="107"/>
    </row>
    <row r="115" spans="1:5" s="3" customFormat="1" ht="36" customHeight="1" x14ac:dyDescent="0.6">
      <c r="B115" s="4"/>
      <c r="E115" s="107"/>
    </row>
    <row r="116" spans="1:5" s="3" customFormat="1" ht="36" customHeight="1" x14ac:dyDescent="0.6">
      <c r="A116" s="4"/>
      <c r="C116" s="4"/>
      <c r="D116" s="4"/>
      <c r="E116" s="107"/>
    </row>
    <row r="117" spans="1:5" s="4" customFormat="1" ht="36" customHeight="1" x14ac:dyDescent="0.6">
      <c r="A117" s="3"/>
      <c r="B117" s="3"/>
      <c r="C117" s="3"/>
      <c r="D117" s="3"/>
      <c r="E117" s="108"/>
    </row>
    <row r="118" spans="1:5" s="3" customFormat="1" ht="36" customHeight="1" x14ac:dyDescent="0.6">
      <c r="B118" s="4"/>
      <c r="E118" s="107"/>
    </row>
    <row r="119" spans="1:5" s="3" customFormat="1" ht="36" customHeight="1" x14ac:dyDescent="0.6">
      <c r="A119" s="4"/>
      <c r="C119" s="4"/>
      <c r="D119" s="4"/>
      <c r="E119" s="107"/>
    </row>
    <row r="120" spans="1:5" s="4" customFormat="1" ht="36" customHeight="1" x14ac:dyDescent="0.6">
      <c r="A120" s="3"/>
      <c r="B120" s="3"/>
      <c r="C120" s="3"/>
      <c r="D120" s="3"/>
      <c r="E120" s="108"/>
    </row>
    <row r="121" spans="1:5" s="3" customFormat="1" ht="36" customHeight="1" x14ac:dyDescent="0.6">
      <c r="E121" s="107"/>
    </row>
    <row r="122" spans="1:5" s="3" customFormat="1" ht="36" customHeight="1" x14ac:dyDescent="0.6">
      <c r="E122" s="107"/>
    </row>
    <row r="123" spans="1:5" s="3" customFormat="1" ht="36" customHeight="1" x14ac:dyDescent="0.6">
      <c r="E123" s="107"/>
    </row>
    <row r="124" spans="1:5" s="3" customFormat="1" ht="36" customHeight="1" x14ac:dyDescent="0.6">
      <c r="E124" s="107"/>
    </row>
    <row r="125" spans="1:5" s="3" customFormat="1" ht="36" customHeight="1" x14ac:dyDescent="0.6">
      <c r="E125" s="107"/>
    </row>
    <row r="126" spans="1:5" s="3" customFormat="1" ht="36" customHeight="1" x14ac:dyDescent="0.6">
      <c r="E126" s="107"/>
    </row>
    <row r="127" spans="1:5" s="3" customFormat="1" ht="36" customHeight="1" x14ac:dyDescent="0.6">
      <c r="A127" s="5"/>
      <c r="E127" s="107"/>
    </row>
    <row r="128" spans="1:5" s="3" customFormat="1" ht="36" customHeight="1" x14ac:dyDescent="0.6">
      <c r="A128" s="5"/>
      <c r="E128" s="107"/>
    </row>
    <row r="129" spans="1:5" s="3" customFormat="1" ht="36" customHeight="1" x14ac:dyDescent="0.6">
      <c r="A129" s="5"/>
      <c r="E129" s="107"/>
    </row>
    <row r="130" spans="1:5" s="3" customFormat="1" ht="36" customHeight="1" x14ac:dyDescent="0.6">
      <c r="A130" s="5"/>
      <c r="E130" s="107"/>
    </row>
    <row r="131" spans="1:5" s="3" customFormat="1" ht="36" customHeight="1" x14ac:dyDescent="0.6">
      <c r="A131" s="5"/>
      <c r="E131" s="107"/>
    </row>
    <row r="132" spans="1:5" s="3" customFormat="1" ht="36" customHeight="1" x14ac:dyDescent="0.6">
      <c r="A132" s="5"/>
      <c r="E132" s="107"/>
    </row>
    <row r="133" spans="1:5" s="3" customFormat="1" ht="36" customHeight="1" x14ac:dyDescent="0.6">
      <c r="A133" s="5"/>
      <c r="E133" s="107"/>
    </row>
    <row r="134" spans="1:5" s="3" customFormat="1" ht="36" customHeight="1" x14ac:dyDescent="0.6">
      <c r="A134" s="5"/>
      <c r="E134" s="107"/>
    </row>
    <row r="135" spans="1:5" s="3" customFormat="1" ht="36" customHeight="1" x14ac:dyDescent="0.6">
      <c r="A135" s="5"/>
      <c r="E135" s="107"/>
    </row>
    <row r="136" spans="1:5" s="3" customFormat="1" ht="36" customHeight="1" x14ac:dyDescent="0.6">
      <c r="A136" s="5"/>
      <c r="E136" s="107"/>
    </row>
    <row r="137" spans="1:5" s="3" customFormat="1" ht="36" customHeight="1" x14ac:dyDescent="0.6">
      <c r="A137" s="5"/>
      <c r="E137" s="107"/>
    </row>
    <row r="138" spans="1:5" s="3" customFormat="1" ht="36" customHeight="1" x14ac:dyDescent="0.6">
      <c r="A138" s="5"/>
      <c r="E138" s="107"/>
    </row>
    <row r="139" spans="1:5" s="3" customFormat="1" ht="36" customHeight="1" x14ac:dyDescent="0.6">
      <c r="A139" s="5"/>
      <c r="E139" s="107"/>
    </row>
    <row r="140" spans="1:5" s="3" customFormat="1" ht="36" customHeight="1" x14ac:dyDescent="0.6">
      <c r="A140" s="5"/>
      <c r="E140" s="107"/>
    </row>
    <row r="141" spans="1:5" s="3" customFormat="1" ht="36" customHeight="1" x14ac:dyDescent="0.6">
      <c r="A141" s="5"/>
      <c r="E141" s="107"/>
    </row>
    <row r="142" spans="1:5" s="3" customFormat="1" ht="36" customHeight="1" x14ac:dyDescent="0.6">
      <c r="A142" s="5"/>
      <c r="E142" s="107"/>
    </row>
    <row r="143" spans="1:5" s="3" customFormat="1" ht="36" customHeight="1" x14ac:dyDescent="0.6">
      <c r="A143" s="5"/>
      <c r="E143" s="107"/>
    </row>
    <row r="144" spans="1:5" s="3" customFormat="1" ht="36" customHeight="1" x14ac:dyDescent="0.6">
      <c r="A144" s="5"/>
      <c r="E144" s="107"/>
    </row>
    <row r="145" spans="1:5" s="3" customFormat="1" ht="36" customHeight="1" x14ac:dyDescent="0.6">
      <c r="A145" s="5"/>
      <c r="E145" s="107"/>
    </row>
    <row r="146" spans="1:5" s="3" customFormat="1" ht="36" customHeight="1" x14ac:dyDescent="0.6">
      <c r="A146" s="5"/>
      <c r="E146" s="107"/>
    </row>
    <row r="147" spans="1:5" s="3" customFormat="1" ht="36" customHeight="1" x14ac:dyDescent="0.6">
      <c r="A147" s="5"/>
      <c r="E147" s="107"/>
    </row>
    <row r="148" spans="1:5" s="3" customFormat="1" ht="36" customHeight="1" x14ac:dyDescent="0.6">
      <c r="A148" s="5"/>
      <c r="E148" s="107"/>
    </row>
    <row r="149" spans="1:5" s="3" customFormat="1" ht="36" customHeight="1" x14ac:dyDescent="0.6">
      <c r="A149" s="5"/>
      <c r="E149" s="107"/>
    </row>
    <row r="150" spans="1:5" s="3" customFormat="1" ht="36" customHeight="1" x14ac:dyDescent="0.6">
      <c r="A150" s="5"/>
      <c r="E150" s="107"/>
    </row>
    <row r="151" spans="1:5" s="3" customFormat="1" ht="36" customHeight="1" x14ac:dyDescent="0.6">
      <c r="A151" s="5"/>
      <c r="E151" s="107"/>
    </row>
    <row r="152" spans="1:5" s="3" customFormat="1" ht="36" customHeight="1" x14ac:dyDescent="0.6">
      <c r="A152" s="5"/>
      <c r="E152" s="107"/>
    </row>
    <row r="153" spans="1:5" s="3" customFormat="1" ht="36" customHeight="1" x14ac:dyDescent="0.6">
      <c r="A153" s="5"/>
      <c r="E153" s="107"/>
    </row>
    <row r="154" spans="1:5" s="3" customFormat="1" ht="36" customHeight="1" x14ac:dyDescent="0.6">
      <c r="A154" s="5"/>
      <c r="E154" s="107"/>
    </row>
    <row r="155" spans="1:5" s="3" customFormat="1" ht="36" customHeight="1" x14ac:dyDescent="0.6">
      <c r="A155" s="5"/>
      <c r="E155" s="107"/>
    </row>
    <row r="156" spans="1:5" s="3" customFormat="1" ht="36" customHeight="1" x14ac:dyDescent="0.6">
      <c r="A156" s="5"/>
      <c r="E156" s="107"/>
    </row>
    <row r="157" spans="1:5" s="3" customFormat="1" ht="36" customHeight="1" x14ac:dyDescent="0.6">
      <c r="A157" s="5"/>
      <c r="E157" s="107"/>
    </row>
    <row r="158" spans="1:5" s="3" customFormat="1" ht="36" customHeight="1" x14ac:dyDescent="0.6">
      <c r="A158" s="5"/>
      <c r="E158" s="107"/>
    </row>
    <row r="159" spans="1:5" s="3" customFormat="1" ht="36" customHeight="1" x14ac:dyDescent="0.6">
      <c r="A159" s="5"/>
      <c r="E159" s="107"/>
    </row>
    <row r="160" spans="1:5" s="3" customFormat="1" ht="17.7" x14ac:dyDescent="0.6">
      <c r="A160" s="5"/>
      <c r="E160" s="107"/>
    </row>
    <row r="161" spans="1:5" s="3" customFormat="1" ht="17.7" x14ac:dyDescent="0.6">
      <c r="A161" s="5"/>
      <c r="E161" s="107"/>
    </row>
    <row r="162" spans="1:5" s="3" customFormat="1" ht="17.7" x14ac:dyDescent="0.6">
      <c r="A162" s="5"/>
      <c r="B162" s="1"/>
      <c r="E162" s="107"/>
    </row>
    <row r="163" spans="1:5" s="3" customFormat="1" ht="17.7" x14ac:dyDescent="0.6">
      <c r="A163" s="2"/>
      <c r="B163" s="1"/>
      <c r="C163" s="1"/>
      <c r="D163" s="1"/>
      <c r="E163" s="107"/>
    </row>
  </sheetData>
  <mergeCells count="2">
    <mergeCell ref="A1:F1"/>
    <mergeCell ref="A2:F2"/>
  </mergeCells>
  <pageMargins left="0.7" right="0.7" top="0.75" bottom="0.75" header="0.3" footer="0.3"/>
  <pageSetup scale="37" orientation="portrait" r:id="rId1"/>
  <rowBreaks count="3" manualBreakCount="3">
    <brk id="46" max="16383" man="1"/>
    <brk id="72" max="16383" man="1"/>
    <brk id="96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8"/>
  <sheetViews>
    <sheetView tabSelected="1" view="pageBreakPreview" topLeftCell="A99" zoomScaleNormal="100" zoomScaleSheetLayoutView="100" workbookViewId="0">
      <selection activeCell="A97" sqref="A97:F97"/>
    </sheetView>
  </sheetViews>
  <sheetFormatPr defaultColWidth="9.15625" defaultRowHeight="15.6" x14ac:dyDescent="0.6"/>
  <cols>
    <col min="1" max="1" width="12" style="20" customWidth="1"/>
    <col min="2" max="2" width="38.15625" style="6" bestFit="1" customWidth="1"/>
    <col min="3" max="3" width="34.15625" style="6" bestFit="1" customWidth="1"/>
    <col min="4" max="4" width="35.83984375" style="6" bestFit="1" customWidth="1"/>
    <col min="5" max="5" width="37.68359375" style="104" customWidth="1"/>
    <col min="6" max="6" width="17" style="6" customWidth="1"/>
    <col min="7" max="7" width="40.15625" style="6" customWidth="1"/>
    <col min="8" max="16384" width="9.15625" style="6"/>
  </cols>
  <sheetData>
    <row r="1" spans="1:7" s="1" customFormat="1" ht="22.2" x14ac:dyDescent="0.7">
      <c r="A1" s="128" t="s">
        <v>120</v>
      </c>
      <c r="B1" s="129"/>
      <c r="C1" s="129"/>
      <c r="D1" s="129"/>
      <c r="E1" s="129"/>
      <c r="F1" s="129"/>
    </row>
    <row r="2" spans="1:7" s="1" customFormat="1" ht="19.8" x14ac:dyDescent="0.65">
      <c r="A2" s="130" t="s">
        <v>147</v>
      </c>
      <c r="B2" s="130"/>
      <c r="C2" s="130"/>
      <c r="D2" s="130"/>
      <c r="E2" s="130"/>
      <c r="F2" s="130"/>
    </row>
    <row r="3" spans="1:7" s="1" customFormat="1" ht="27.75" customHeight="1" x14ac:dyDescent="0.55000000000000004">
      <c r="A3" s="34" t="s">
        <v>1</v>
      </c>
      <c r="B3" s="34" t="s">
        <v>2</v>
      </c>
      <c r="C3" s="34" t="s">
        <v>4</v>
      </c>
      <c r="D3" s="34" t="s">
        <v>5</v>
      </c>
      <c r="E3" s="96" t="s">
        <v>228</v>
      </c>
      <c r="F3" s="66" t="s">
        <v>231</v>
      </c>
      <c r="G3" s="35"/>
    </row>
    <row r="4" spans="1:7" ht="27.75" customHeight="1" x14ac:dyDescent="0.6">
      <c r="A4" s="131" t="s">
        <v>123</v>
      </c>
      <c r="B4" s="132"/>
      <c r="C4" s="132"/>
      <c r="D4" s="132"/>
      <c r="E4" s="132"/>
      <c r="F4" s="132"/>
      <c r="G4" s="36"/>
    </row>
    <row r="5" spans="1:7" ht="27.75" customHeight="1" x14ac:dyDescent="0.75">
      <c r="A5" s="20">
        <v>1</v>
      </c>
      <c r="B5" s="37" t="s">
        <v>31</v>
      </c>
      <c r="C5" s="37" t="s">
        <v>122</v>
      </c>
      <c r="D5" s="37" t="s">
        <v>124</v>
      </c>
      <c r="E5" s="97">
        <v>28433</v>
      </c>
      <c r="F5" s="71">
        <f t="shared" ref="F5:F12" ca="1" si="0">DATEDIF(E5,TODAY(),"Y")</f>
        <v>48</v>
      </c>
      <c r="G5" s="38"/>
    </row>
    <row r="6" spans="1:7" ht="27.75" customHeight="1" x14ac:dyDescent="0.75">
      <c r="A6" s="39">
        <v>2</v>
      </c>
      <c r="B6" s="40" t="s">
        <v>233</v>
      </c>
      <c r="C6" s="40" t="s">
        <v>224</v>
      </c>
      <c r="D6" s="40" t="s">
        <v>151</v>
      </c>
      <c r="E6" s="97">
        <v>27516</v>
      </c>
      <c r="F6" s="71">
        <f t="shared" ca="1" si="0"/>
        <v>51</v>
      </c>
      <c r="G6" s="36"/>
    </row>
    <row r="7" spans="1:7" ht="27.75" customHeight="1" x14ac:dyDescent="0.75">
      <c r="A7" s="20">
        <v>3</v>
      </c>
      <c r="B7" s="37" t="s">
        <v>185</v>
      </c>
      <c r="C7" s="37" t="s">
        <v>225</v>
      </c>
      <c r="D7" s="37" t="s">
        <v>151</v>
      </c>
      <c r="E7" s="97">
        <v>29677</v>
      </c>
      <c r="F7" s="71">
        <f t="shared" ca="1" si="0"/>
        <v>45</v>
      </c>
      <c r="G7" s="38"/>
    </row>
    <row r="8" spans="1:7" ht="27.75" customHeight="1" x14ac:dyDescent="0.75">
      <c r="A8" s="20">
        <v>4</v>
      </c>
      <c r="B8" s="37" t="s">
        <v>125</v>
      </c>
      <c r="C8" s="37" t="s">
        <v>226</v>
      </c>
      <c r="D8" s="37" t="s">
        <v>151</v>
      </c>
      <c r="E8" s="97">
        <v>31388</v>
      </c>
      <c r="F8" s="71">
        <f t="shared" ca="1" si="0"/>
        <v>40</v>
      </c>
      <c r="G8" s="38"/>
    </row>
    <row r="9" spans="1:7" ht="27.75" customHeight="1" x14ac:dyDescent="0.75">
      <c r="A9" s="39">
        <v>5</v>
      </c>
      <c r="B9" s="37" t="s">
        <v>126</v>
      </c>
      <c r="C9" s="37" t="s">
        <v>127</v>
      </c>
      <c r="D9" s="37" t="s">
        <v>116</v>
      </c>
      <c r="E9" s="97">
        <v>33158</v>
      </c>
      <c r="F9" s="71">
        <f t="shared" ca="1" si="0"/>
        <v>35</v>
      </c>
      <c r="G9" s="38"/>
    </row>
    <row r="10" spans="1:7" ht="27.75" customHeight="1" x14ac:dyDescent="0.75">
      <c r="A10" s="20">
        <v>6</v>
      </c>
      <c r="B10" s="41" t="s">
        <v>149</v>
      </c>
      <c r="C10" s="41" t="s">
        <v>122</v>
      </c>
      <c r="D10" s="37" t="s">
        <v>116</v>
      </c>
      <c r="E10" s="97">
        <v>29878</v>
      </c>
      <c r="F10" s="71">
        <f t="shared" ca="1" si="0"/>
        <v>44</v>
      </c>
      <c r="G10" s="42"/>
    </row>
    <row r="11" spans="1:7" ht="27.75" customHeight="1" x14ac:dyDescent="0.75">
      <c r="A11" s="20">
        <v>7</v>
      </c>
      <c r="B11" s="41" t="s">
        <v>208</v>
      </c>
      <c r="C11" s="41" t="s">
        <v>122</v>
      </c>
      <c r="D11" s="37" t="s">
        <v>244</v>
      </c>
      <c r="E11" s="97">
        <v>38125</v>
      </c>
      <c r="F11" s="71">
        <f t="shared" ca="1" si="0"/>
        <v>22</v>
      </c>
      <c r="G11" s="42"/>
    </row>
    <row r="12" spans="1:7" ht="27.75" customHeight="1" x14ac:dyDescent="0.75">
      <c r="A12" s="39">
        <v>8</v>
      </c>
      <c r="B12" s="40" t="s">
        <v>232</v>
      </c>
      <c r="C12" s="40" t="s">
        <v>182</v>
      </c>
      <c r="D12" s="40" t="s">
        <v>181</v>
      </c>
      <c r="E12" s="97">
        <v>30413</v>
      </c>
      <c r="F12" s="71">
        <f t="shared" ca="1" si="0"/>
        <v>43</v>
      </c>
      <c r="G12" s="36"/>
    </row>
    <row r="13" spans="1:7" ht="20.399999999999999" x14ac:dyDescent="0.75">
      <c r="A13" s="47"/>
      <c r="E13" s="98"/>
      <c r="F13" s="72"/>
    </row>
    <row r="14" spans="1:7" ht="21" customHeight="1" x14ac:dyDescent="0.6">
      <c r="A14" s="125" t="s">
        <v>241</v>
      </c>
      <c r="B14" s="125"/>
      <c r="C14" s="125"/>
      <c r="D14" s="125"/>
      <c r="E14" s="125"/>
      <c r="F14" s="125"/>
    </row>
    <row r="15" spans="1:7" ht="27.75" customHeight="1" x14ac:dyDescent="0.75">
      <c r="A15" s="39">
        <v>9</v>
      </c>
      <c r="B15" s="37" t="s">
        <v>34</v>
      </c>
      <c r="C15" s="37" t="s">
        <v>32</v>
      </c>
      <c r="D15" s="37" t="s">
        <v>130</v>
      </c>
      <c r="E15" s="97">
        <v>29340</v>
      </c>
      <c r="F15" s="71">
        <f ca="1">DATEDIF(E15,TODAY(),"Y")</f>
        <v>46</v>
      </c>
      <c r="G15" s="36"/>
    </row>
    <row r="16" spans="1:7" ht="27.75" customHeight="1" x14ac:dyDescent="0.75">
      <c r="A16" s="20">
        <v>10</v>
      </c>
      <c r="B16" s="37" t="s">
        <v>35</v>
      </c>
      <c r="C16" s="37" t="s">
        <v>32</v>
      </c>
      <c r="D16" s="37" t="s">
        <v>130</v>
      </c>
      <c r="E16" s="97">
        <v>33120</v>
      </c>
      <c r="F16" s="71">
        <f ca="1">DATEDIF(E16,TODAY(),"Y")</f>
        <v>36</v>
      </c>
      <c r="G16" s="38"/>
    </row>
    <row r="17" spans="1:7" ht="27.75" customHeight="1" x14ac:dyDescent="0.75">
      <c r="A17" s="39">
        <v>11</v>
      </c>
      <c r="B17" s="37" t="s">
        <v>128</v>
      </c>
      <c r="C17" s="37" t="s">
        <v>129</v>
      </c>
      <c r="D17" s="37" t="s">
        <v>130</v>
      </c>
      <c r="E17" s="97">
        <v>33755</v>
      </c>
      <c r="F17" s="71">
        <f ca="1">DATEDIF(E17,TODAY(),"Y")</f>
        <v>34</v>
      </c>
      <c r="G17" s="36"/>
    </row>
    <row r="18" spans="1:7" ht="27.75" customHeight="1" x14ac:dyDescent="0.75">
      <c r="A18" s="20">
        <v>12</v>
      </c>
      <c r="B18" s="37" t="s">
        <v>131</v>
      </c>
      <c r="C18" s="37" t="s">
        <v>36</v>
      </c>
      <c r="D18" s="37" t="s">
        <v>130</v>
      </c>
      <c r="E18" s="97">
        <v>35350</v>
      </c>
      <c r="F18" s="71">
        <f ca="1">DATEDIF(E18,TODAY(),"Y")</f>
        <v>29</v>
      </c>
      <c r="G18" s="36"/>
    </row>
    <row r="19" spans="1:7" ht="27.75" customHeight="1" x14ac:dyDescent="0.75">
      <c r="A19" s="47"/>
      <c r="B19" s="15"/>
      <c r="C19" s="15"/>
      <c r="D19" s="15"/>
      <c r="E19" s="98"/>
      <c r="F19" s="72"/>
      <c r="G19" s="38"/>
    </row>
    <row r="20" spans="1:7" ht="27.75" customHeight="1" x14ac:dyDescent="0.6">
      <c r="A20" s="125" t="s">
        <v>166</v>
      </c>
      <c r="B20" s="125"/>
      <c r="C20" s="125"/>
      <c r="D20" s="125"/>
      <c r="E20" s="125"/>
      <c r="F20" s="126"/>
      <c r="G20" s="38"/>
    </row>
    <row r="21" spans="1:7" s="21" customFormat="1" ht="27.75" customHeight="1" x14ac:dyDescent="0.75">
      <c r="A21" s="43">
        <v>13</v>
      </c>
      <c r="B21" s="44" t="s">
        <v>183</v>
      </c>
      <c r="C21" s="44" t="s">
        <v>184</v>
      </c>
      <c r="D21" s="44" t="s">
        <v>156</v>
      </c>
      <c r="E21" s="97">
        <v>28002</v>
      </c>
      <c r="F21" s="71">
        <f t="shared" ref="F21:F26" ca="1" si="1">DATEDIF(E21,TODAY(),"Y")</f>
        <v>50</v>
      </c>
      <c r="G21" s="45"/>
    </row>
    <row r="22" spans="1:7" ht="27.75" customHeight="1" x14ac:dyDescent="0.75">
      <c r="A22" s="39">
        <v>14</v>
      </c>
      <c r="B22" s="69" t="s">
        <v>209</v>
      </c>
      <c r="C22" s="46" t="s">
        <v>104</v>
      </c>
      <c r="D22" s="37" t="s">
        <v>210</v>
      </c>
      <c r="E22" s="97">
        <v>26075</v>
      </c>
      <c r="F22" s="71">
        <f t="shared" ca="1" si="1"/>
        <v>55</v>
      </c>
      <c r="G22" s="38"/>
    </row>
    <row r="23" spans="1:7" ht="27.75" customHeight="1" x14ac:dyDescent="0.75">
      <c r="A23" s="43">
        <v>15</v>
      </c>
      <c r="B23" s="37" t="s">
        <v>152</v>
      </c>
      <c r="C23" s="37" t="s">
        <v>175</v>
      </c>
      <c r="D23" s="37" t="s">
        <v>158</v>
      </c>
      <c r="E23" s="97">
        <v>28951</v>
      </c>
      <c r="F23" s="73">
        <f t="shared" ca="1" si="1"/>
        <v>47</v>
      </c>
      <c r="G23" s="38"/>
    </row>
    <row r="24" spans="1:7" ht="27.75" customHeight="1" x14ac:dyDescent="0.75">
      <c r="A24" s="39">
        <v>16</v>
      </c>
      <c r="B24" s="37" t="s">
        <v>155</v>
      </c>
      <c r="C24" s="37" t="s">
        <v>175</v>
      </c>
      <c r="D24" s="37" t="s">
        <v>158</v>
      </c>
      <c r="E24" s="97">
        <v>30616</v>
      </c>
      <c r="F24" s="73">
        <f t="shared" ca="1" si="1"/>
        <v>42</v>
      </c>
      <c r="G24" s="38"/>
    </row>
    <row r="25" spans="1:7" ht="27.75" customHeight="1" x14ac:dyDescent="0.75">
      <c r="A25" s="43">
        <v>17</v>
      </c>
      <c r="B25" s="37" t="s">
        <v>121</v>
      </c>
      <c r="C25" s="37" t="s">
        <v>104</v>
      </c>
      <c r="D25" s="37" t="s">
        <v>158</v>
      </c>
      <c r="E25" s="99">
        <v>32822</v>
      </c>
      <c r="F25" s="73">
        <f t="shared" ca="1" si="1"/>
        <v>36</v>
      </c>
    </row>
    <row r="26" spans="1:7" s="25" customFormat="1" ht="27.75" customHeight="1" x14ac:dyDescent="0.75">
      <c r="A26" s="39">
        <v>18</v>
      </c>
      <c r="B26" s="41" t="s">
        <v>216</v>
      </c>
      <c r="C26" s="41" t="s">
        <v>215</v>
      </c>
      <c r="D26" s="70" t="s">
        <v>238</v>
      </c>
      <c r="E26" s="97">
        <v>36135</v>
      </c>
      <c r="F26" s="73">
        <f t="shared" ca="1" si="1"/>
        <v>27</v>
      </c>
    </row>
    <row r="27" spans="1:7" ht="27.75" customHeight="1" x14ac:dyDescent="0.75">
      <c r="A27" s="47"/>
      <c r="E27" s="98"/>
      <c r="F27" s="72"/>
      <c r="G27" s="36"/>
    </row>
    <row r="28" spans="1:7" ht="27.75" customHeight="1" x14ac:dyDescent="0.75">
      <c r="A28" s="47"/>
      <c r="E28" s="98"/>
      <c r="F28" s="72"/>
      <c r="G28" s="36"/>
    </row>
    <row r="29" spans="1:7" ht="27.75" customHeight="1" x14ac:dyDescent="0.6">
      <c r="A29" s="125" t="s">
        <v>107</v>
      </c>
      <c r="B29" s="125"/>
      <c r="C29" s="125"/>
      <c r="D29" s="125"/>
      <c r="E29" s="125"/>
      <c r="F29" s="125"/>
      <c r="G29" s="38"/>
    </row>
    <row r="30" spans="1:7" ht="27.75" customHeight="1" x14ac:dyDescent="0.75">
      <c r="A30" s="39">
        <v>19</v>
      </c>
      <c r="B30" s="37" t="s">
        <v>108</v>
      </c>
      <c r="C30" s="37" t="s">
        <v>73</v>
      </c>
      <c r="D30" s="37" t="s">
        <v>186</v>
      </c>
      <c r="E30" s="97">
        <v>28543</v>
      </c>
      <c r="F30" s="71">
        <f t="shared" ref="F30:F41" ca="1" si="2">DATEDIF(E30,TODAY(),"Y")</f>
        <v>48</v>
      </c>
      <c r="G30" s="36"/>
    </row>
    <row r="31" spans="1:7" ht="27.75" customHeight="1" x14ac:dyDescent="0.75">
      <c r="A31" s="39">
        <v>20</v>
      </c>
      <c r="B31" s="37" t="s">
        <v>74</v>
      </c>
      <c r="C31" s="37" t="s">
        <v>73</v>
      </c>
      <c r="D31" s="58" t="s">
        <v>109</v>
      </c>
      <c r="E31" s="97">
        <v>26649</v>
      </c>
      <c r="F31" s="71">
        <f t="shared" ca="1" si="2"/>
        <v>53</v>
      </c>
      <c r="G31" s="36"/>
    </row>
    <row r="32" spans="1:7" ht="27.75" customHeight="1" x14ac:dyDescent="0.75">
      <c r="A32" s="39">
        <v>21</v>
      </c>
      <c r="B32" s="37" t="s">
        <v>75</v>
      </c>
      <c r="C32" s="37" t="s">
        <v>73</v>
      </c>
      <c r="D32" s="58" t="s">
        <v>109</v>
      </c>
      <c r="E32" s="97">
        <v>30529</v>
      </c>
      <c r="F32" s="71">
        <f t="shared" ca="1" si="2"/>
        <v>43</v>
      </c>
      <c r="G32" s="36"/>
    </row>
    <row r="33" spans="1:8" ht="27.75" customHeight="1" x14ac:dyDescent="0.75">
      <c r="A33" s="39">
        <v>22</v>
      </c>
      <c r="B33" s="37" t="s">
        <v>72</v>
      </c>
      <c r="C33" s="37" t="s">
        <v>73</v>
      </c>
      <c r="D33" s="58" t="s">
        <v>117</v>
      </c>
      <c r="E33" s="97">
        <v>31642</v>
      </c>
      <c r="F33" s="71">
        <f t="shared" ca="1" si="2"/>
        <v>40</v>
      </c>
      <c r="G33" s="36"/>
    </row>
    <row r="34" spans="1:8" ht="27.75" customHeight="1" x14ac:dyDescent="0.75">
      <c r="A34" s="39">
        <v>23</v>
      </c>
      <c r="B34" s="37" t="s">
        <v>159</v>
      </c>
      <c r="C34" s="37" t="s">
        <v>73</v>
      </c>
      <c r="D34" s="58" t="s">
        <v>80</v>
      </c>
      <c r="E34" s="97">
        <v>35773</v>
      </c>
      <c r="F34" s="71">
        <f t="shared" ca="1" si="2"/>
        <v>28</v>
      </c>
      <c r="G34" s="38"/>
    </row>
    <row r="35" spans="1:8" ht="27.75" customHeight="1" x14ac:dyDescent="0.75">
      <c r="A35" s="39">
        <v>24</v>
      </c>
      <c r="B35" s="37" t="s">
        <v>154</v>
      </c>
      <c r="C35" s="37" t="s">
        <v>73</v>
      </c>
      <c r="D35" s="58" t="s">
        <v>80</v>
      </c>
      <c r="E35" s="97">
        <v>35321</v>
      </c>
      <c r="F35" s="71">
        <f t="shared" ca="1" si="2"/>
        <v>30</v>
      </c>
      <c r="G35" s="36"/>
      <c r="H35" s="7"/>
    </row>
    <row r="36" spans="1:8" ht="27.75" customHeight="1" x14ac:dyDescent="0.75">
      <c r="A36" s="39">
        <v>25</v>
      </c>
      <c r="B36" s="37" t="s">
        <v>153</v>
      </c>
      <c r="C36" s="37" t="s">
        <v>73</v>
      </c>
      <c r="D36" s="58" t="s">
        <v>80</v>
      </c>
      <c r="E36" s="97">
        <v>35239</v>
      </c>
      <c r="F36" s="71">
        <f t="shared" ca="1" si="2"/>
        <v>30</v>
      </c>
      <c r="G36" s="36"/>
    </row>
    <row r="37" spans="1:8" ht="27.75" customHeight="1" x14ac:dyDescent="0.75">
      <c r="A37" s="39">
        <v>26</v>
      </c>
      <c r="B37" s="37" t="s">
        <v>77</v>
      </c>
      <c r="C37" s="37" t="s">
        <v>73</v>
      </c>
      <c r="D37" s="58" t="s">
        <v>76</v>
      </c>
      <c r="E37" s="97">
        <v>31125</v>
      </c>
      <c r="F37" s="71">
        <f t="shared" ca="1" si="2"/>
        <v>41</v>
      </c>
      <c r="G37" s="36"/>
    </row>
    <row r="38" spans="1:8" ht="27.75" customHeight="1" x14ac:dyDescent="0.75">
      <c r="A38" s="39">
        <v>27</v>
      </c>
      <c r="B38" s="37" t="s">
        <v>78</v>
      </c>
      <c r="C38" s="37" t="s">
        <v>73</v>
      </c>
      <c r="D38" s="58" t="s">
        <v>79</v>
      </c>
      <c r="E38" s="97">
        <v>29475</v>
      </c>
      <c r="F38" s="71">
        <f t="shared" ca="1" si="2"/>
        <v>46</v>
      </c>
      <c r="G38" s="38"/>
    </row>
    <row r="39" spans="1:8" ht="27.75" customHeight="1" x14ac:dyDescent="0.75">
      <c r="A39" s="39">
        <v>28</v>
      </c>
      <c r="B39" s="37" t="s">
        <v>40</v>
      </c>
      <c r="C39" s="37" t="s">
        <v>188</v>
      </c>
      <c r="D39" s="58" t="s">
        <v>160</v>
      </c>
      <c r="E39" s="97">
        <v>28597</v>
      </c>
      <c r="F39" s="71">
        <f t="shared" ca="1" si="2"/>
        <v>48</v>
      </c>
      <c r="G39" s="38"/>
    </row>
    <row r="40" spans="1:8" ht="27.75" customHeight="1" x14ac:dyDescent="0.75">
      <c r="A40" s="39">
        <v>29</v>
      </c>
      <c r="B40" s="37" t="s">
        <v>203</v>
      </c>
      <c r="C40" s="37" t="s">
        <v>202</v>
      </c>
      <c r="D40" s="58" t="s">
        <v>204</v>
      </c>
      <c r="E40" s="97">
        <v>33326</v>
      </c>
      <c r="F40" s="71">
        <f t="shared" ca="1" si="2"/>
        <v>35</v>
      </c>
      <c r="G40" s="38"/>
    </row>
    <row r="41" spans="1:8" ht="27.75" customHeight="1" x14ac:dyDescent="0.75">
      <c r="A41" s="39">
        <v>30</v>
      </c>
      <c r="B41" s="37" t="s">
        <v>33</v>
      </c>
      <c r="C41" s="37" t="s">
        <v>15</v>
      </c>
      <c r="D41" s="37" t="s">
        <v>201</v>
      </c>
      <c r="E41" s="97">
        <v>34136</v>
      </c>
      <c r="F41" s="71">
        <f t="shared" ca="1" si="2"/>
        <v>33</v>
      </c>
      <c r="G41" s="36"/>
    </row>
    <row r="42" spans="1:8" ht="27.75" customHeight="1" x14ac:dyDescent="0.75">
      <c r="A42" s="47"/>
      <c r="B42" s="15"/>
      <c r="C42" s="15"/>
      <c r="D42" s="15"/>
      <c r="E42" s="100"/>
      <c r="F42" s="72"/>
      <c r="G42" s="36"/>
    </row>
    <row r="43" spans="1:8" ht="27.75" customHeight="1" x14ac:dyDescent="0.6">
      <c r="A43" s="127" t="s">
        <v>227</v>
      </c>
      <c r="B43" s="125"/>
      <c r="C43" s="125"/>
      <c r="D43" s="125"/>
      <c r="E43" s="125"/>
      <c r="F43" s="125"/>
      <c r="G43" s="36"/>
    </row>
    <row r="44" spans="1:8" ht="27.75" customHeight="1" x14ac:dyDescent="0.75">
      <c r="A44" s="39">
        <v>31</v>
      </c>
      <c r="B44" s="37" t="s">
        <v>234</v>
      </c>
      <c r="C44" s="37" t="s">
        <v>36</v>
      </c>
      <c r="D44" s="37" t="s">
        <v>37</v>
      </c>
      <c r="E44" s="97">
        <v>29991</v>
      </c>
      <c r="F44" s="71">
        <f t="shared" ref="F44:F80" ca="1" si="3">DATEDIF(E44,TODAY(),"Y")</f>
        <v>44</v>
      </c>
      <c r="G44" s="36"/>
    </row>
    <row r="45" spans="1:8" ht="27.75" customHeight="1" x14ac:dyDescent="0.75">
      <c r="A45" s="39">
        <v>32</v>
      </c>
      <c r="B45" s="37" t="s">
        <v>43</v>
      </c>
      <c r="C45" s="37" t="s">
        <v>36</v>
      </c>
      <c r="D45" s="37" t="s">
        <v>161</v>
      </c>
      <c r="E45" s="97">
        <v>28927</v>
      </c>
      <c r="F45" s="71">
        <f t="shared" ca="1" si="3"/>
        <v>47</v>
      </c>
      <c r="G45" s="36"/>
    </row>
    <row r="46" spans="1:8" ht="27.75" customHeight="1" x14ac:dyDescent="0.75">
      <c r="A46" s="39">
        <v>33</v>
      </c>
      <c r="B46" s="37" t="s">
        <v>41</v>
      </c>
      <c r="C46" s="37" t="s">
        <v>36</v>
      </c>
      <c r="D46" s="37" t="s">
        <v>42</v>
      </c>
      <c r="E46" s="97">
        <v>27575</v>
      </c>
      <c r="F46" s="71">
        <f t="shared" ca="1" si="3"/>
        <v>51</v>
      </c>
      <c r="G46" s="36"/>
    </row>
    <row r="47" spans="1:8" ht="27.75" customHeight="1" x14ac:dyDescent="0.75">
      <c r="A47" s="39">
        <v>34</v>
      </c>
      <c r="B47" s="37" t="s">
        <v>54</v>
      </c>
      <c r="C47" s="37" t="s">
        <v>36</v>
      </c>
      <c r="D47" s="37" t="s">
        <v>162</v>
      </c>
      <c r="E47" s="97">
        <v>29731</v>
      </c>
      <c r="F47" s="71">
        <f t="shared" ca="1" si="3"/>
        <v>45</v>
      </c>
      <c r="G47" s="36"/>
    </row>
    <row r="48" spans="1:8" ht="27.75" customHeight="1" x14ac:dyDescent="0.75">
      <c r="A48" s="39">
        <v>35</v>
      </c>
      <c r="B48" s="37" t="s">
        <v>44</v>
      </c>
      <c r="C48" s="37" t="s">
        <v>36</v>
      </c>
      <c r="D48" s="37" t="s">
        <v>39</v>
      </c>
      <c r="E48" s="97">
        <v>31018</v>
      </c>
      <c r="F48" s="71">
        <f t="shared" ca="1" si="3"/>
        <v>41</v>
      </c>
      <c r="G48" s="36"/>
    </row>
    <row r="49" spans="1:7" ht="27.75" customHeight="1" x14ac:dyDescent="0.75">
      <c r="A49" s="39">
        <v>36</v>
      </c>
      <c r="B49" s="37" t="s">
        <v>45</v>
      </c>
      <c r="C49" s="37" t="s">
        <v>36</v>
      </c>
      <c r="D49" s="37" t="s">
        <v>162</v>
      </c>
      <c r="E49" s="97">
        <v>31131</v>
      </c>
      <c r="F49" s="71">
        <f t="shared" ca="1" si="3"/>
        <v>41</v>
      </c>
      <c r="G49" s="36"/>
    </row>
    <row r="50" spans="1:7" ht="27.75" customHeight="1" x14ac:dyDescent="0.75">
      <c r="A50" s="39">
        <v>37</v>
      </c>
      <c r="B50" s="37" t="s">
        <v>46</v>
      </c>
      <c r="C50" s="37" t="s">
        <v>36</v>
      </c>
      <c r="D50" s="37" t="s">
        <v>162</v>
      </c>
      <c r="E50" s="97">
        <v>29510</v>
      </c>
      <c r="F50" s="71">
        <f t="shared" ca="1" si="3"/>
        <v>45</v>
      </c>
      <c r="G50" s="36"/>
    </row>
    <row r="51" spans="1:7" ht="27.75" customHeight="1" x14ac:dyDescent="0.75">
      <c r="A51" s="39">
        <v>38</v>
      </c>
      <c r="B51" s="37" t="s">
        <v>55</v>
      </c>
      <c r="C51" s="37" t="s">
        <v>36</v>
      </c>
      <c r="D51" s="37" t="s">
        <v>162</v>
      </c>
      <c r="E51" s="97">
        <v>29678</v>
      </c>
      <c r="F51" s="71">
        <f t="shared" ca="1" si="3"/>
        <v>45</v>
      </c>
      <c r="G51" s="36"/>
    </row>
    <row r="52" spans="1:7" ht="27.75" customHeight="1" x14ac:dyDescent="0.75">
      <c r="A52" s="39">
        <v>39</v>
      </c>
      <c r="B52" s="37" t="s">
        <v>47</v>
      </c>
      <c r="C52" s="37" t="s">
        <v>36</v>
      </c>
      <c r="D52" s="37" t="s">
        <v>162</v>
      </c>
      <c r="E52" s="97">
        <v>31498</v>
      </c>
      <c r="F52" s="71">
        <f t="shared" ca="1" si="3"/>
        <v>40</v>
      </c>
      <c r="G52" s="36"/>
    </row>
    <row r="53" spans="1:7" ht="27.75" customHeight="1" x14ac:dyDescent="0.75">
      <c r="A53" s="39">
        <v>40</v>
      </c>
      <c r="B53" s="37" t="s">
        <v>48</v>
      </c>
      <c r="C53" s="37" t="s">
        <v>36</v>
      </c>
      <c r="D53" s="37" t="s">
        <v>39</v>
      </c>
      <c r="E53" s="97">
        <v>32825</v>
      </c>
      <c r="F53" s="71">
        <f t="shared" ca="1" si="3"/>
        <v>36</v>
      </c>
      <c r="G53" s="38"/>
    </row>
    <row r="54" spans="1:7" ht="27.75" customHeight="1" x14ac:dyDescent="0.75">
      <c r="A54" s="39">
        <v>41</v>
      </c>
      <c r="B54" s="37" t="s">
        <v>49</v>
      </c>
      <c r="C54" s="37" t="s">
        <v>36</v>
      </c>
      <c r="D54" s="37" t="s">
        <v>39</v>
      </c>
      <c r="E54" s="97">
        <v>31152</v>
      </c>
      <c r="F54" s="71">
        <f t="shared" ca="1" si="3"/>
        <v>41</v>
      </c>
      <c r="G54" s="38"/>
    </row>
    <row r="55" spans="1:7" ht="27.75" customHeight="1" x14ac:dyDescent="0.75">
      <c r="A55" s="39">
        <v>42</v>
      </c>
      <c r="B55" s="37" t="s">
        <v>50</v>
      </c>
      <c r="C55" s="37" t="s">
        <v>36</v>
      </c>
      <c r="D55" s="37" t="s">
        <v>39</v>
      </c>
      <c r="E55" s="97">
        <v>28459</v>
      </c>
      <c r="F55" s="71">
        <f t="shared" ca="1" si="3"/>
        <v>48</v>
      </c>
      <c r="G55" s="38"/>
    </row>
    <row r="56" spans="1:7" ht="27.75" customHeight="1" x14ac:dyDescent="0.75">
      <c r="A56" s="39">
        <v>43</v>
      </c>
      <c r="B56" s="37" t="s">
        <v>236</v>
      </c>
      <c r="C56" s="37" t="s">
        <v>36</v>
      </c>
      <c r="D56" s="37" t="s">
        <v>39</v>
      </c>
      <c r="E56" s="97">
        <v>31828</v>
      </c>
      <c r="F56" s="71">
        <f t="shared" ca="1" si="3"/>
        <v>39</v>
      </c>
      <c r="G56" s="36"/>
    </row>
    <row r="57" spans="1:7" ht="27.75" customHeight="1" x14ac:dyDescent="0.75">
      <c r="A57" s="39">
        <v>44</v>
      </c>
      <c r="B57" s="37" t="s">
        <v>51</v>
      </c>
      <c r="C57" s="37" t="s">
        <v>36</v>
      </c>
      <c r="D57" s="37" t="s">
        <v>39</v>
      </c>
      <c r="E57" s="97">
        <v>30424</v>
      </c>
      <c r="F57" s="71">
        <f t="shared" ca="1" si="3"/>
        <v>43</v>
      </c>
      <c r="G57" s="38"/>
    </row>
    <row r="58" spans="1:7" ht="27.75" customHeight="1" x14ac:dyDescent="0.75">
      <c r="A58" s="39">
        <v>45</v>
      </c>
      <c r="B58" s="37" t="s">
        <v>52</v>
      </c>
      <c r="C58" s="37" t="s">
        <v>36</v>
      </c>
      <c r="D58" s="37" t="s">
        <v>39</v>
      </c>
      <c r="E58" s="97">
        <v>28533</v>
      </c>
      <c r="F58" s="71">
        <f t="shared" ca="1" si="3"/>
        <v>48</v>
      </c>
      <c r="G58" s="36"/>
    </row>
    <row r="59" spans="1:7" ht="27.75" customHeight="1" x14ac:dyDescent="0.75">
      <c r="A59" s="39">
        <v>46</v>
      </c>
      <c r="B59" s="37" t="s">
        <v>239</v>
      </c>
      <c r="C59" s="37" t="s">
        <v>36</v>
      </c>
      <c r="D59" s="37" t="s">
        <v>39</v>
      </c>
      <c r="E59" s="97">
        <v>30934</v>
      </c>
      <c r="F59" s="71">
        <f t="shared" ca="1" si="3"/>
        <v>42</v>
      </c>
      <c r="G59" s="38"/>
    </row>
    <row r="60" spans="1:7" ht="27.75" customHeight="1" x14ac:dyDescent="0.75">
      <c r="A60" s="39">
        <v>47</v>
      </c>
      <c r="B60" s="37" t="s">
        <v>53</v>
      </c>
      <c r="C60" s="37" t="s">
        <v>36</v>
      </c>
      <c r="D60" s="37" t="s">
        <v>39</v>
      </c>
      <c r="E60" s="97">
        <v>27670</v>
      </c>
      <c r="F60" s="71">
        <f t="shared" ca="1" si="3"/>
        <v>50</v>
      </c>
      <c r="G60" s="36"/>
    </row>
    <row r="61" spans="1:7" ht="27.75" customHeight="1" x14ac:dyDescent="0.75">
      <c r="A61" s="39">
        <v>48</v>
      </c>
      <c r="B61" s="37" t="s">
        <v>164</v>
      </c>
      <c r="C61" s="37" t="s">
        <v>36</v>
      </c>
      <c r="D61" s="37" t="s">
        <v>39</v>
      </c>
      <c r="E61" s="97">
        <v>30418</v>
      </c>
      <c r="F61" s="71">
        <f t="shared" ca="1" si="3"/>
        <v>43</v>
      </c>
      <c r="G61" s="36"/>
    </row>
    <row r="62" spans="1:7" ht="27.75" customHeight="1" x14ac:dyDescent="0.75">
      <c r="A62" s="39">
        <v>49</v>
      </c>
      <c r="B62" s="15" t="s">
        <v>217</v>
      </c>
      <c r="C62" s="37" t="s">
        <v>36</v>
      </c>
      <c r="D62" s="37" t="s">
        <v>39</v>
      </c>
      <c r="E62" s="100">
        <v>31464</v>
      </c>
      <c r="F62" s="72">
        <f t="shared" ca="1" si="3"/>
        <v>40</v>
      </c>
      <c r="G62" s="36"/>
    </row>
    <row r="63" spans="1:7" ht="27.75" customHeight="1" x14ac:dyDescent="0.75">
      <c r="A63" s="39">
        <v>50</v>
      </c>
      <c r="B63" s="37" t="s">
        <v>119</v>
      </c>
      <c r="C63" s="37" t="s">
        <v>38</v>
      </c>
      <c r="D63" s="37" t="s">
        <v>39</v>
      </c>
      <c r="E63" s="97">
        <v>27940</v>
      </c>
      <c r="F63" s="71">
        <f t="shared" ca="1" si="3"/>
        <v>50</v>
      </c>
      <c r="G63" s="36"/>
    </row>
    <row r="64" spans="1:7" ht="27.75" customHeight="1" x14ac:dyDescent="0.75">
      <c r="A64" s="39">
        <v>51</v>
      </c>
      <c r="B64" s="37" t="s">
        <v>56</v>
      </c>
      <c r="C64" s="37" t="s">
        <v>38</v>
      </c>
      <c r="D64" s="37" t="s">
        <v>57</v>
      </c>
      <c r="E64" s="97">
        <v>27687</v>
      </c>
      <c r="F64" s="71">
        <f t="shared" ca="1" si="3"/>
        <v>50</v>
      </c>
      <c r="G64" s="36"/>
    </row>
    <row r="65" spans="1:7" ht="27.75" customHeight="1" x14ac:dyDescent="0.75">
      <c r="A65" s="39">
        <v>52</v>
      </c>
      <c r="B65" s="37" t="s">
        <v>237</v>
      </c>
      <c r="C65" s="37" t="s">
        <v>36</v>
      </c>
      <c r="D65" s="37" t="s">
        <v>59</v>
      </c>
      <c r="E65" s="97">
        <v>31341</v>
      </c>
      <c r="F65" s="71">
        <f t="shared" ca="1" si="3"/>
        <v>40</v>
      </c>
      <c r="G65" s="36"/>
    </row>
    <row r="66" spans="1:7" ht="27.75" customHeight="1" x14ac:dyDescent="0.75">
      <c r="A66" s="39">
        <v>53</v>
      </c>
      <c r="B66" s="37" t="s">
        <v>58</v>
      </c>
      <c r="C66" s="37" t="s">
        <v>36</v>
      </c>
      <c r="D66" s="37" t="s">
        <v>59</v>
      </c>
      <c r="E66" s="97">
        <v>31709</v>
      </c>
      <c r="F66" s="71">
        <f t="shared" ca="1" si="3"/>
        <v>39</v>
      </c>
      <c r="G66" s="36"/>
    </row>
    <row r="67" spans="1:7" ht="27.75" customHeight="1" x14ac:dyDescent="0.75">
      <c r="A67" s="39">
        <v>54</v>
      </c>
      <c r="B67" s="37" t="s">
        <v>60</v>
      </c>
      <c r="C67" s="37" t="s">
        <v>36</v>
      </c>
      <c r="D67" s="37" t="s">
        <v>59</v>
      </c>
      <c r="E67" s="97">
        <v>29269</v>
      </c>
      <c r="F67" s="71">
        <f t="shared" ca="1" si="3"/>
        <v>46</v>
      </c>
      <c r="G67" s="36"/>
    </row>
    <row r="68" spans="1:7" ht="27.75" customHeight="1" x14ac:dyDescent="0.75">
      <c r="A68" s="39">
        <v>55</v>
      </c>
      <c r="B68" s="37" t="s">
        <v>61</v>
      </c>
      <c r="C68" s="37" t="s">
        <v>36</v>
      </c>
      <c r="D68" s="37" t="s">
        <v>59</v>
      </c>
      <c r="E68" s="97">
        <v>32047</v>
      </c>
      <c r="F68" s="71">
        <f t="shared" ca="1" si="3"/>
        <v>38</v>
      </c>
      <c r="G68" s="38"/>
    </row>
    <row r="69" spans="1:7" ht="27.75" customHeight="1" x14ac:dyDescent="0.75">
      <c r="A69" s="39">
        <v>56</v>
      </c>
      <c r="B69" s="37" t="s">
        <v>62</v>
      </c>
      <c r="C69" s="37" t="s">
        <v>36</v>
      </c>
      <c r="D69" s="37" t="s">
        <v>59</v>
      </c>
      <c r="E69" s="97">
        <v>33808</v>
      </c>
      <c r="F69" s="71">
        <f t="shared" ca="1" si="3"/>
        <v>34</v>
      </c>
      <c r="G69" s="36"/>
    </row>
    <row r="70" spans="1:7" ht="27.75" customHeight="1" x14ac:dyDescent="0.75">
      <c r="A70" s="39">
        <v>57</v>
      </c>
      <c r="B70" s="37" t="s">
        <v>63</v>
      </c>
      <c r="C70" s="37" t="s">
        <v>36</v>
      </c>
      <c r="D70" s="37" t="s">
        <v>59</v>
      </c>
      <c r="E70" s="97">
        <v>30972</v>
      </c>
      <c r="F70" s="71">
        <f t="shared" ca="1" si="3"/>
        <v>41</v>
      </c>
      <c r="G70" s="38"/>
    </row>
    <row r="71" spans="1:7" ht="27.75" customHeight="1" x14ac:dyDescent="0.75">
      <c r="A71" s="39">
        <v>58</v>
      </c>
      <c r="B71" s="37" t="s">
        <v>235</v>
      </c>
      <c r="C71" s="37" t="s">
        <v>36</v>
      </c>
      <c r="D71" s="37" t="s">
        <v>59</v>
      </c>
      <c r="E71" s="97">
        <v>32854</v>
      </c>
      <c r="F71" s="71">
        <f t="shared" ca="1" si="3"/>
        <v>36</v>
      </c>
      <c r="G71" s="38"/>
    </row>
    <row r="72" spans="1:7" ht="27.75" customHeight="1" x14ac:dyDescent="0.75">
      <c r="A72" s="39">
        <v>59</v>
      </c>
      <c r="B72" s="37" t="s">
        <v>64</v>
      </c>
      <c r="C72" s="37" t="s">
        <v>36</v>
      </c>
      <c r="D72" s="37" t="s">
        <v>59</v>
      </c>
      <c r="E72" s="97">
        <v>31945</v>
      </c>
      <c r="F72" s="71">
        <f t="shared" ca="1" si="3"/>
        <v>39</v>
      </c>
      <c r="G72" s="36"/>
    </row>
    <row r="73" spans="1:7" ht="27.75" customHeight="1" x14ac:dyDescent="0.75">
      <c r="A73" s="39">
        <v>60</v>
      </c>
      <c r="B73" s="37" t="s">
        <v>66</v>
      </c>
      <c r="C73" s="37" t="s">
        <v>101</v>
      </c>
      <c r="D73" s="37" t="s">
        <v>59</v>
      </c>
      <c r="E73" s="97">
        <v>33641</v>
      </c>
      <c r="F73" s="71">
        <f t="shared" ca="1" si="3"/>
        <v>34</v>
      </c>
      <c r="G73" s="36"/>
    </row>
    <row r="74" spans="1:7" ht="27.75" customHeight="1" x14ac:dyDescent="0.75">
      <c r="A74" s="39">
        <v>61</v>
      </c>
      <c r="B74" s="37" t="s">
        <v>67</v>
      </c>
      <c r="C74" s="37" t="s">
        <v>36</v>
      </c>
      <c r="D74" s="37" t="s">
        <v>59</v>
      </c>
      <c r="E74" s="97">
        <v>32323</v>
      </c>
      <c r="F74" s="71">
        <f t="shared" ca="1" si="3"/>
        <v>38</v>
      </c>
      <c r="G74" s="36"/>
    </row>
    <row r="75" spans="1:7" ht="27.75" customHeight="1" x14ac:dyDescent="0.75">
      <c r="A75" s="39">
        <v>62</v>
      </c>
      <c r="B75" s="37" t="s">
        <v>68</v>
      </c>
      <c r="C75" s="37" t="s">
        <v>36</v>
      </c>
      <c r="D75" s="37" t="s">
        <v>59</v>
      </c>
      <c r="E75" s="97">
        <v>32183</v>
      </c>
      <c r="F75" s="71">
        <f t="shared" ca="1" si="3"/>
        <v>38</v>
      </c>
      <c r="G75" s="36"/>
    </row>
    <row r="76" spans="1:7" ht="27.75" customHeight="1" x14ac:dyDescent="0.75">
      <c r="A76" s="39">
        <v>63</v>
      </c>
      <c r="B76" s="37" t="s">
        <v>69</v>
      </c>
      <c r="C76" s="37" t="s">
        <v>36</v>
      </c>
      <c r="D76" s="37" t="s">
        <v>59</v>
      </c>
      <c r="E76" s="97">
        <v>32094</v>
      </c>
      <c r="F76" s="71">
        <f t="shared" ca="1" si="3"/>
        <v>38</v>
      </c>
      <c r="G76" s="36"/>
    </row>
    <row r="77" spans="1:7" ht="27.75" customHeight="1" x14ac:dyDescent="0.75">
      <c r="A77" s="39">
        <v>64</v>
      </c>
      <c r="B77" s="48" t="s">
        <v>70</v>
      </c>
      <c r="C77" s="37" t="s">
        <v>36</v>
      </c>
      <c r="D77" s="37" t="s">
        <v>59</v>
      </c>
      <c r="E77" s="97">
        <v>30485</v>
      </c>
      <c r="F77" s="71">
        <f t="shared" ca="1" si="3"/>
        <v>43</v>
      </c>
      <c r="G77" s="38"/>
    </row>
    <row r="78" spans="1:7" ht="27.75" customHeight="1" x14ac:dyDescent="0.75">
      <c r="A78" s="39">
        <v>65</v>
      </c>
      <c r="B78" s="37" t="s">
        <v>71</v>
      </c>
      <c r="C78" s="37" t="s">
        <v>36</v>
      </c>
      <c r="D78" s="37" t="s">
        <v>59</v>
      </c>
      <c r="E78" s="97">
        <v>30355</v>
      </c>
      <c r="F78" s="71">
        <f t="shared" ca="1" si="3"/>
        <v>43</v>
      </c>
      <c r="G78" s="49"/>
    </row>
    <row r="79" spans="1:7" ht="27.75" customHeight="1" x14ac:dyDescent="0.75">
      <c r="A79" s="39">
        <v>66</v>
      </c>
      <c r="B79" s="69" t="s">
        <v>170</v>
      </c>
      <c r="C79" s="37" t="s">
        <v>36</v>
      </c>
      <c r="D79" s="37" t="s">
        <v>59</v>
      </c>
      <c r="E79" s="97">
        <v>30821</v>
      </c>
      <c r="F79" s="71">
        <f t="shared" ca="1" si="3"/>
        <v>42</v>
      </c>
      <c r="G79" s="36"/>
    </row>
    <row r="80" spans="1:7" ht="27.75" customHeight="1" x14ac:dyDescent="0.75">
      <c r="A80" s="39">
        <v>67</v>
      </c>
      <c r="B80" s="37" t="s">
        <v>141</v>
      </c>
      <c r="C80" s="37" t="s">
        <v>36</v>
      </c>
      <c r="D80" s="37" t="s">
        <v>163</v>
      </c>
      <c r="E80" s="97">
        <v>30650</v>
      </c>
      <c r="F80" s="71">
        <f t="shared" ca="1" si="3"/>
        <v>42</v>
      </c>
      <c r="G80" s="36"/>
    </row>
    <row r="81" spans="1:7" ht="27.75" customHeight="1" x14ac:dyDescent="0.75">
      <c r="A81" s="47"/>
      <c r="E81" s="98"/>
      <c r="F81" s="72"/>
      <c r="G81" s="38"/>
    </row>
    <row r="82" spans="1:7" ht="27.75" customHeight="1" x14ac:dyDescent="0.6">
      <c r="A82" s="125" t="s">
        <v>165</v>
      </c>
      <c r="B82" s="125"/>
      <c r="C82" s="125"/>
      <c r="D82" s="125"/>
      <c r="E82" s="125"/>
      <c r="F82" s="126"/>
      <c r="G82" s="38"/>
    </row>
    <row r="83" spans="1:7" ht="27.75" customHeight="1" x14ac:dyDescent="0.75">
      <c r="A83" s="39">
        <v>68</v>
      </c>
      <c r="B83" s="37" t="s">
        <v>133</v>
      </c>
      <c r="C83" s="37" t="s">
        <v>122</v>
      </c>
      <c r="D83" s="37" t="s">
        <v>157</v>
      </c>
      <c r="E83" s="97">
        <v>32574</v>
      </c>
      <c r="F83" s="71">
        <f t="shared" ref="F83:F88" ca="1" si="4">DATEDIF(E83,TODAY(),"Y")</f>
        <v>37</v>
      </c>
      <c r="G83" s="38"/>
    </row>
    <row r="84" spans="1:7" ht="27.75" customHeight="1" x14ac:dyDescent="0.75">
      <c r="A84" s="39">
        <v>69</v>
      </c>
      <c r="B84" s="37" t="s">
        <v>134</v>
      </c>
      <c r="C84" s="37" t="s">
        <v>122</v>
      </c>
      <c r="D84" s="37" t="s">
        <v>157</v>
      </c>
      <c r="E84" s="97">
        <v>33718</v>
      </c>
      <c r="F84" s="71">
        <f t="shared" ca="1" si="4"/>
        <v>34</v>
      </c>
      <c r="G84" s="36"/>
    </row>
    <row r="85" spans="1:7" ht="27.75" customHeight="1" x14ac:dyDescent="0.75">
      <c r="A85" s="39">
        <v>70</v>
      </c>
      <c r="B85" s="37" t="s">
        <v>65</v>
      </c>
      <c r="C85" s="37" t="s">
        <v>36</v>
      </c>
      <c r="D85" s="37" t="s">
        <v>132</v>
      </c>
      <c r="E85" s="97">
        <v>26876</v>
      </c>
      <c r="F85" s="71">
        <f t="shared" ca="1" si="4"/>
        <v>53</v>
      </c>
      <c r="G85" s="38"/>
    </row>
    <row r="86" spans="1:7" ht="27.75" customHeight="1" x14ac:dyDescent="0.75">
      <c r="A86" s="39">
        <v>71</v>
      </c>
      <c r="B86" s="37" t="s">
        <v>142</v>
      </c>
      <c r="C86" s="37" t="s">
        <v>36</v>
      </c>
      <c r="D86" s="37" t="s">
        <v>157</v>
      </c>
      <c r="E86" s="97">
        <v>35959</v>
      </c>
      <c r="F86" s="71">
        <f t="shared" ca="1" si="4"/>
        <v>28</v>
      </c>
      <c r="G86" s="38"/>
    </row>
    <row r="87" spans="1:7" ht="27.75" customHeight="1" x14ac:dyDescent="0.75">
      <c r="A87" s="39">
        <v>72</v>
      </c>
      <c r="B87" s="37" t="s">
        <v>143</v>
      </c>
      <c r="C87" s="37" t="s">
        <v>36</v>
      </c>
      <c r="D87" s="37" t="s">
        <v>157</v>
      </c>
      <c r="E87" s="97">
        <v>34282</v>
      </c>
      <c r="F87" s="71">
        <f t="shared" ca="1" si="4"/>
        <v>32</v>
      </c>
      <c r="G87" s="38"/>
    </row>
    <row r="88" spans="1:7" ht="27.75" customHeight="1" x14ac:dyDescent="0.75">
      <c r="A88" s="39">
        <v>73</v>
      </c>
      <c r="B88" s="54" t="s">
        <v>187</v>
      </c>
      <c r="C88" s="37" t="s">
        <v>36</v>
      </c>
      <c r="D88" s="37" t="s">
        <v>157</v>
      </c>
      <c r="E88" s="97">
        <v>33387</v>
      </c>
      <c r="F88" s="71">
        <f t="shared" ca="1" si="4"/>
        <v>35</v>
      </c>
      <c r="G88" s="38"/>
    </row>
    <row r="89" spans="1:7" ht="27.75" customHeight="1" x14ac:dyDescent="0.75">
      <c r="A89" s="47"/>
      <c r="B89" s="50"/>
      <c r="C89" s="50"/>
      <c r="D89" s="50"/>
      <c r="E89" s="98"/>
      <c r="F89" s="72"/>
      <c r="G89" s="36"/>
    </row>
    <row r="90" spans="1:7" ht="27.75" customHeight="1" x14ac:dyDescent="0.6">
      <c r="A90" s="127" t="s">
        <v>105</v>
      </c>
      <c r="B90" s="125"/>
      <c r="C90" s="125"/>
      <c r="D90" s="125"/>
      <c r="E90" s="125"/>
      <c r="F90" s="126"/>
      <c r="G90" s="36"/>
    </row>
    <row r="91" spans="1:7" ht="27.75" customHeight="1" x14ac:dyDescent="0.75">
      <c r="A91" s="39">
        <v>74</v>
      </c>
      <c r="B91" s="37" t="s">
        <v>81</v>
      </c>
      <c r="C91" s="37" t="s">
        <v>82</v>
      </c>
      <c r="D91" s="37" t="s">
        <v>83</v>
      </c>
      <c r="E91" s="97">
        <v>25634</v>
      </c>
      <c r="F91" s="71">
        <f ca="1">DATEDIF(E91,TODAY(),"Y")</f>
        <v>56</v>
      </c>
      <c r="G91" s="36"/>
    </row>
    <row r="92" spans="1:7" ht="27.75" customHeight="1" x14ac:dyDescent="0.75">
      <c r="A92" s="47">
        <v>75</v>
      </c>
      <c r="B92" s="37" t="s">
        <v>136</v>
      </c>
      <c r="C92" s="37" t="s">
        <v>82</v>
      </c>
      <c r="D92" s="37" t="s">
        <v>83</v>
      </c>
      <c r="E92" s="97">
        <v>25433</v>
      </c>
      <c r="F92" s="71">
        <f ca="1">DATEDIF(E92,TODAY(),"Y")</f>
        <v>57</v>
      </c>
      <c r="G92" s="36"/>
    </row>
    <row r="93" spans="1:7" ht="27.75" customHeight="1" x14ac:dyDescent="0.75">
      <c r="A93" s="39">
        <v>76</v>
      </c>
      <c r="B93" s="37" t="s">
        <v>84</v>
      </c>
      <c r="C93" s="37" t="s">
        <v>82</v>
      </c>
      <c r="D93" s="37" t="s">
        <v>229</v>
      </c>
      <c r="E93" s="97">
        <v>28527</v>
      </c>
      <c r="F93" s="71">
        <f ca="1">DATEDIF(E93,TODAY(),"Y")</f>
        <v>48</v>
      </c>
      <c r="G93" s="36"/>
    </row>
    <row r="94" spans="1:7" ht="27.75" customHeight="1" x14ac:dyDescent="0.75">
      <c r="A94" s="39">
        <v>77</v>
      </c>
      <c r="B94" s="37" t="s">
        <v>230</v>
      </c>
      <c r="C94" s="37" t="s">
        <v>82</v>
      </c>
      <c r="D94" s="37" t="s">
        <v>245</v>
      </c>
      <c r="E94" s="97">
        <v>36842</v>
      </c>
      <c r="F94" s="71">
        <f ca="1">DATEDIF(E94,TODAY(),"Y")</f>
        <v>25</v>
      </c>
      <c r="G94" s="36"/>
    </row>
    <row r="95" spans="1:7" ht="27.75" customHeight="1" x14ac:dyDescent="0.75">
      <c r="A95" s="47"/>
      <c r="B95" s="15"/>
      <c r="C95" s="15"/>
      <c r="D95" s="15"/>
      <c r="E95" s="100"/>
      <c r="F95" s="72"/>
      <c r="G95" s="36"/>
    </row>
    <row r="96" spans="1:7" ht="27.75" customHeight="1" x14ac:dyDescent="0.75">
      <c r="A96" s="47"/>
      <c r="B96" s="15"/>
      <c r="C96" s="15"/>
      <c r="D96" s="15"/>
      <c r="E96" s="98"/>
      <c r="F96" s="72"/>
      <c r="G96" s="36"/>
    </row>
    <row r="97" spans="1:7" s="25" customFormat="1" ht="27.75" customHeight="1" x14ac:dyDescent="0.6">
      <c r="A97" s="125" t="s">
        <v>106</v>
      </c>
      <c r="B97" s="125"/>
      <c r="C97" s="125"/>
      <c r="D97" s="125"/>
      <c r="E97" s="125"/>
      <c r="F97" s="126"/>
      <c r="G97" s="51"/>
    </row>
    <row r="98" spans="1:7" ht="27.75" customHeight="1" x14ac:dyDescent="0.75">
      <c r="A98" s="39">
        <v>78</v>
      </c>
      <c r="B98" s="52" t="s">
        <v>176</v>
      </c>
      <c r="C98" s="68" t="s">
        <v>85</v>
      </c>
      <c r="D98" s="53" t="s">
        <v>91</v>
      </c>
      <c r="E98" s="97">
        <v>25561</v>
      </c>
      <c r="F98" s="71">
        <f t="shared" ref="F98:F112" ca="1" si="5">DATEDIF(E98,TODAY(),"Y")</f>
        <v>56</v>
      </c>
      <c r="G98" s="36"/>
    </row>
    <row r="99" spans="1:7" ht="27.75" customHeight="1" x14ac:dyDescent="0.75">
      <c r="A99" s="116">
        <v>79</v>
      </c>
      <c r="B99" s="117" t="s">
        <v>246</v>
      </c>
      <c r="C99" s="118" t="s">
        <v>85</v>
      </c>
      <c r="D99" s="119" t="s">
        <v>86</v>
      </c>
      <c r="E99" s="120">
        <v>24375</v>
      </c>
      <c r="F99" s="121">
        <f t="shared" ca="1" si="5"/>
        <v>59</v>
      </c>
      <c r="G99" s="36"/>
    </row>
    <row r="100" spans="1:7" ht="27.75" customHeight="1" x14ac:dyDescent="0.75">
      <c r="A100" s="77">
        <v>80</v>
      </c>
      <c r="B100" s="79" t="s">
        <v>87</v>
      </c>
      <c r="C100" s="80" t="s">
        <v>85</v>
      </c>
      <c r="D100" s="81" t="s">
        <v>91</v>
      </c>
      <c r="E100" s="102">
        <v>24233</v>
      </c>
      <c r="F100" s="78">
        <f t="shared" ca="1" si="5"/>
        <v>60</v>
      </c>
      <c r="G100" s="36"/>
    </row>
    <row r="101" spans="1:7" ht="27.75" customHeight="1" x14ac:dyDescent="0.75">
      <c r="A101" s="43">
        <v>81</v>
      </c>
      <c r="B101" s="52" t="s">
        <v>89</v>
      </c>
      <c r="C101" s="68" t="s">
        <v>85</v>
      </c>
      <c r="D101" s="53" t="s">
        <v>91</v>
      </c>
      <c r="E101" s="97">
        <v>30820</v>
      </c>
      <c r="F101" s="71">
        <f t="shared" ca="1" si="5"/>
        <v>42</v>
      </c>
      <c r="G101" s="36"/>
    </row>
    <row r="102" spans="1:7" ht="27.75" customHeight="1" x14ac:dyDescent="0.75">
      <c r="A102" s="43">
        <v>82</v>
      </c>
      <c r="B102" s="52" t="s">
        <v>92</v>
      </c>
      <c r="C102" s="68" t="s">
        <v>85</v>
      </c>
      <c r="D102" s="53" t="s">
        <v>91</v>
      </c>
      <c r="E102" s="97">
        <v>30592</v>
      </c>
      <c r="F102" s="71">
        <f t="shared" ca="1" si="5"/>
        <v>42</v>
      </c>
      <c r="G102" s="36"/>
    </row>
    <row r="103" spans="1:7" ht="27.75" customHeight="1" x14ac:dyDescent="0.75">
      <c r="A103" s="43">
        <v>83</v>
      </c>
      <c r="B103" s="52" t="s">
        <v>93</v>
      </c>
      <c r="C103" s="68" t="s">
        <v>85</v>
      </c>
      <c r="D103" s="53" t="s">
        <v>91</v>
      </c>
      <c r="E103" s="97">
        <v>29098</v>
      </c>
      <c r="F103" s="71">
        <f t="shared" ca="1" si="5"/>
        <v>47</v>
      </c>
      <c r="G103" s="36"/>
    </row>
    <row r="104" spans="1:7" ht="27.75" customHeight="1" x14ac:dyDescent="0.75">
      <c r="A104" s="43">
        <v>84</v>
      </c>
      <c r="B104" s="52" t="s">
        <v>177</v>
      </c>
      <c r="C104" s="68" t="s">
        <v>85</v>
      </c>
      <c r="D104" s="53" t="s">
        <v>91</v>
      </c>
      <c r="E104" s="97">
        <v>29164</v>
      </c>
      <c r="F104" s="71">
        <f t="shared" ca="1" si="5"/>
        <v>46</v>
      </c>
      <c r="G104" s="36"/>
    </row>
    <row r="105" spans="1:7" ht="27.75" customHeight="1" x14ac:dyDescent="0.75">
      <c r="A105" s="43">
        <v>85</v>
      </c>
      <c r="B105" s="52" t="s">
        <v>178</v>
      </c>
      <c r="C105" s="68" t="s">
        <v>85</v>
      </c>
      <c r="D105" s="53" t="s">
        <v>90</v>
      </c>
      <c r="E105" s="97">
        <v>29728</v>
      </c>
      <c r="F105" s="71">
        <f t="shared" ca="1" si="5"/>
        <v>45</v>
      </c>
      <c r="G105" s="36"/>
    </row>
    <row r="106" spans="1:7" ht="27.75" customHeight="1" x14ac:dyDescent="0.75">
      <c r="A106" s="39">
        <v>86</v>
      </c>
      <c r="B106" s="52" t="s">
        <v>94</v>
      </c>
      <c r="C106" s="68" t="s">
        <v>85</v>
      </c>
      <c r="D106" s="53" t="s">
        <v>91</v>
      </c>
      <c r="E106" s="97">
        <v>28200</v>
      </c>
      <c r="F106" s="71">
        <f t="shared" ca="1" si="5"/>
        <v>49</v>
      </c>
      <c r="G106" s="36"/>
    </row>
    <row r="107" spans="1:7" ht="27.75" customHeight="1" x14ac:dyDescent="0.75">
      <c r="A107" s="43">
        <v>87</v>
      </c>
      <c r="B107" s="52" t="s">
        <v>179</v>
      </c>
      <c r="C107" s="68" t="s">
        <v>85</v>
      </c>
      <c r="D107" s="53" t="s">
        <v>88</v>
      </c>
      <c r="E107" s="97">
        <v>30398</v>
      </c>
      <c r="F107" s="71">
        <f t="shared" ca="1" si="5"/>
        <v>43</v>
      </c>
      <c r="G107" s="36"/>
    </row>
    <row r="108" spans="1:7" ht="27.75" customHeight="1" x14ac:dyDescent="0.75">
      <c r="A108" s="39">
        <v>88</v>
      </c>
      <c r="B108" s="52" t="s">
        <v>205</v>
      </c>
      <c r="C108" s="68" t="s">
        <v>85</v>
      </c>
      <c r="D108" s="53" t="s">
        <v>91</v>
      </c>
      <c r="E108" s="97">
        <v>26485</v>
      </c>
      <c r="F108" s="71">
        <f t="shared" ca="1" si="5"/>
        <v>54</v>
      </c>
      <c r="G108" s="38"/>
    </row>
    <row r="109" spans="1:7" ht="27.75" customHeight="1" x14ac:dyDescent="0.75">
      <c r="A109" s="85">
        <v>89</v>
      </c>
      <c r="B109" s="86" t="s">
        <v>198</v>
      </c>
      <c r="C109" s="87" t="s">
        <v>85</v>
      </c>
      <c r="D109" s="88" t="s">
        <v>148</v>
      </c>
      <c r="E109" s="101">
        <v>24592</v>
      </c>
      <c r="F109" s="89">
        <f t="shared" ca="1" si="5"/>
        <v>59</v>
      </c>
    </row>
    <row r="110" spans="1:7" ht="27.75" customHeight="1" x14ac:dyDescent="0.75">
      <c r="A110" s="39">
        <v>90</v>
      </c>
      <c r="B110" s="52" t="s">
        <v>221</v>
      </c>
      <c r="C110" s="68" t="s">
        <v>85</v>
      </c>
      <c r="D110" s="53" t="s">
        <v>91</v>
      </c>
      <c r="E110" s="97">
        <v>25452</v>
      </c>
      <c r="F110" s="71">
        <f t="shared" ca="1" si="5"/>
        <v>57</v>
      </c>
    </row>
    <row r="111" spans="1:7" ht="27.75" customHeight="1" x14ac:dyDescent="0.75">
      <c r="A111" s="43">
        <v>91</v>
      </c>
      <c r="B111" s="52" t="s">
        <v>180</v>
      </c>
      <c r="C111" s="68" t="s">
        <v>85</v>
      </c>
      <c r="D111" s="53" t="s">
        <v>91</v>
      </c>
      <c r="E111" s="97">
        <v>29579</v>
      </c>
      <c r="F111" s="71">
        <f t="shared" ca="1" si="5"/>
        <v>45</v>
      </c>
    </row>
    <row r="112" spans="1:7" ht="27.75" customHeight="1" x14ac:dyDescent="0.75">
      <c r="A112" s="39">
        <v>92</v>
      </c>
      <c r="B112" s="52" t="s">
        <v>95</v>
      </c>
      <c r="C112" s="68" t="s">
        <v>85</v>
      </c>
      <c r="D112" s="53" t="s">
        <v>90</v>
      </c>
      <c r="E112" s="97">
        <v>28173</v>
      </c>
      <c r="F112" s="71">
        <f t="shared" ca="1" si="5"/>
        <v>49</v>
      </c>
    </row>
    <row r="113" spans="1:7" ht="27.75" customHeight="1" x14ac:dyDescent="0.75">
      <c r="A113" s="47"/>
      <c r="B113" s="15"/>
      <c r="C113" s="15"/>
      <c r="D113" s="15"/>
      <c r="E113" s="98"/>
      <c r="F113" s="72"/>
    </row>
    <row r="114" spans="1:7" ht="27.75" customHeight="1" x14ac:dyDescent="0.6">
      <c r="A114" s="125" t="s">
        <v>114</v>
      </c>
      <c r="B114" s="125"/>
      <c r="C114" s="125"/>
      <c r="D114" s="125"/>
      <c r="E114" s="125"/>
      <c r="F114" s="125"/>
    </row>
    <row r="115" spans="1:7" ht="27.75" customHeight="1" x14ac:dyDescent="0.75">
      <c r="A115" s="85">
        <v>93</v>
      </c>
      <c r="B115" s="90" t="s">
        <v>96</v>
      </c>
      <c r="C115" s="91" t="s">
        <v>97</v>
      </c>
      <c r="D115" s="91" t="s">
        <v>115</v>
      </c>
      <c r="E115" s="101">
        <v>24356</v>
      </c>
      <c r="F115" s="89">
        <f ca="1">DATEDIF(E115,TODAY(),"Y")</f>
        <v>60</v>
      </c>
    </row>
    <row r="116" spans="1:7" s="22" customFormat="1" ht="27.75" customHeight="1" x14ac:dyDescent="0.75">
      <c r="A116" s="55">
        <v>94</v>
      </c>
      <c r="B116" s="48" t="s">
        <v>212</v>
      </c>
      <c r="C116" s="48" t="s">
        <v>98</v>
      </c>
      <c r="D116" s="48" t="s">
        <v>97</v>
      </c>
      <c r="E116" s="103"/>
      <c r="F116" s="71"/>
    </row>
    <row r="117" spans="1:7" ht="27.75" customHeight="1" x14ac:dyDescent="0.75">
      <c r="A117" s="43">
        <v>95</v>
      </c>
      <c r="B117" s="48" t="s">
        <v>213</v>
      </c>
      <c r="C117" s="48" t="s">
        <v>99</v>
      </c>
      <c r="D117" s="48" t="s">
        <v>97</v>
      </c>
      <c r="E117" s="103"/>
      <c r="F117" s="71"/>
    </row>
    <row r="118" spans="1:7" ht="27.75" customHeight="1" x14ac:dyDescent="0.75">
      <c r="A118" s="84">
        <v>96</v>
      </c>
      <c r="B118" s="37" t="s">
        <v>168</v>
      </c>
      <c r="C118" s="37" t="s">
        <v>99</v>
      </c>
      <c r="D118" s="37" t="s">
        <v>97</v>
      </c>
      <c r="E118" s="97">
        <v>30311</v>
      </c>
      <c r="F118" s="71">
        <f ca="1">DATEDIF(E118,TODAY(),"Y")</f>
        <v>43</v>
      </c>
    </row>
    <row r="119" spans="1:7" ht="27.75" customHeight="1" x14ac:dyDescent="0.75">
      <c r="A119" s="43">
        <v>97</v>
      </c>
      <c r="B119" s="37" t="s">
        <v>172</v>
      </c>
      <c r="C119" s="37" t="s">
        <v>135</v>
      </c>
      <c r="D119" s="37" t="s">
        <v>97</v>
      </c>
      <c r="E119" s="97">
        <v>27862</v>
      </c>
      <c r="F119" s="71">
        <f ca="1">DATEDIF(E119,TODAY(),"Y")</f>
        <v>50</v>
      </c>
    </row>
    <row r="120" spans="1:7" ht="27.75" customHeight="1" x14ac:dyDescent="0.75">
      <c r="A120" s="84">
        <v>98</v>
      </c>
      <c r="B120" s="48" t="s">
        <v>100</v>
      </c>
      <c r="C120" s="48" t="s">
        <v>36</v>
      </c>
      <c r="D120" s="48" t="s">
        <v>97</v>
      </c>
      <c r="E120" s="97">
        <v>25703</v>
      </c>
      <c r="F120" s="71">
        <f ca="1">DATEDIF(E120,TODAY(),"Y")</f>
        <v>56</v>
      </c>
    </row>
    <row r="121" spans="1:7" ht="27.75" customHeight="1" x14ac:dyDescent="0.75">
      <c r="A121" s="43">
        <v>99</v>
      </c>
      <c r="B121" s="37" t="s">
        <v>144</v>
      </c>
      <c r="C121" s="37" t="s">
        <v>101</v>
      </c>
      <c r="D121" s="37" t="s">
        <v>97</v>
      </c>
      <c r="E121" s="97">
        <v>27369</v>
      </c>
      <c r="F121" s="71">
        <f ca="1">DATEDIF(E121,TODAY(),"Y")</f>
        <v>51</v>
      </c>
      <c r="G121" s="36"/>
    </row>
    <row r="122" spans="1:7" ht="27.75" customHeight="1" x14ac:dyDescent="0.75">
      <c r="A122" s="55">
        <v>100</v>
      </c>
      <c r="B122" s="37" t="s">
        <v>102</v>
      </c>
      <c r="C122" s="37" t="s">
        <v>101</v>
      </c>
      <c r="D122" s="37" t="s">
        <v>103</v>
      </c>
      <c r="E122" s="97">
        <v>31932</v>
      </c>
      <c r="F122" s="71">
        <f ca="1">DATEDIF(E122,TODAY(),"Y")</f>
        <v>39</v>
      </c>
      <c r="G122" s="36"/>
    </row>
    <row r="123" spans="1:7" ht="27.75" customHeight="1" x14ac:dyDescent="0.75">
      <c r="A123" s="47"/>
      <c r="B123" s="15"/>
      <c r="C123" s="15"/>
      <c r="D123" s="15"/>
      <c r="E123" s="98"/>
      <c r="F123" s="72"/>
    </row>
    <row r="124" spans="1:7" ht="27.75" customHeight="1" x14ac:dyDescent="0.6">
      <c r="A124" s="122" t="s">
        <v>171</v>
      </c>
      <c r="B124" s="123"/>
      <c r="C124" s="123"/>
      <c r="D124" s="123"/>
      <c r="E124" s="123"/>
      <c r="F124" s="124"/>
    </row>
    <row r="125" spans="1:7" ht="27.75" customHeight="1" x14ac:dyDescent="0.75">
      <c r="A125" s="39">
        <v>101</v>
      </c>
      <c r="B125" s="40" t="s">
        <v>206</v>
      </c>
      <c r="C125" s="40" t="s">
        <v>173</v>
      </c>
      <c r="D125" s="40" t="s">
        <v>207</v>
      </c>
      <c r="E125" s="97">
        <v>33826</v>
      </c>
      <c r="F125" s="71">
        <f ca="1">DATEDIF(E125,TODAY(),"Y")</f>
        <v>34</v>
      </c>
    </row>
    <row r="126" spans="1:7" ht="27.75" customHeight="1" x14ac:dyDescent="0.75">
      <c r="A126" s="56">
        <v>102</v>
      </c>
      <c r="B126" s="37" t="s">
        <v>222</v>
      </c>
      <c r="C126" s="37" t="s">
        <v>173</v>
      </c>
      <c r="D126" s="40" t="s">
        <v>207</v>
      </c>
      <c r="E126" s="97">
        <v>36154</v>
      </c>
      <c r="F126" s="71">
        <f ca="1">DATEDIF(E126,TODAY(),"Y")</f>
        <v>27</v>
      </c>
    </row>
    <row r="127" spans="1:7" ht="27.75" customHeight="1" x14ac:dyDescent="0.6">
      <c r="A127" s="6"/>
    </row>
    <row r="128" spans="1:7" ht="27.75" customHeight="1" x14ac:dyDescent="0.6">
      <c r="A128" s="6"/>
    </row>
    <row r="129" spans="1:7" ht="27.75" customHeight="1" x14ac:dyDescent="0.6">
      <c r="A129" s="125" t="s">
        <v>223</v>
      </c>
      <c r="B129" s="125"/>
      <c r="C129" s="125"/>
      <c r="D129" s="125"/>
      <c r="E129" s="125"/>
      <c r="F129" s="125"/>
    </row>
    <row r="130" spans="1:7" ht="27.75" customHeight="1" x14ac:dyDescent="0.6">
      <c r="A130" s="56"/>
      <c r="B130" s="37"/>
      <c r="C130" s="60"/>
      <c r="D130" s="59"/>
      <c r="E130" s="105"/>
      <c r="F130" s="59"/>
    </row>
    <row r="131" spans="1:7" ht="27.75" customHeight="1" x14ac:dyDescent="0.6">
      <c r="A131" s="56"/>
      <c r="B131" s="37"/>
      <c r="C131" s="61"/>
      <c r="D131" s="59"/>
      <c r="E131" s="105"/>
      <c r="F131" s="59"/>
    </row>
    <row r="132" spans="1:7" ht="27.75" customHeight="1" x14ac:dyDescent="0.6">
      <c r="A132" s="56"/>
      <c r="B132" s="37"/>
      <c r="C132" s="61"/>
      <c r="D132" s="59"/>
      <c r="E132" s="105"/>
      <c r="F132" s="59"/>
    </row>
    <row r="133" spans="1:7" ht="27.75" customHeight="1" x14ac:dyDescent="0.6">
      <c r="C133" s="36"/>
    </row>
    <row r="134" spans="1:7" ht="27.75" customHeight="1" x14ac:dyDescent="0.6">
      <c r="C134" s="38"/>
    </row>
    <row r="135" spans="1:7" ht="27.75" customHeight="1" x14ac:dyDescent="0.6"/>
    <row r="136" spans="1:7" ht="27.75" customHeight="1" x14ac:dyDescent="0.6"/>
    <row r="137" spans="1:7" ht="27.75" customHeight="1" x14ac:dyDescent="0.6"/>
    <row r="138" spans="1:7" ht="27.75" customHeight="1" x14ac:dyDescent="0.6"/>
    <row r="139" spans="1:7" ht="27.75" customHeight="1" x14ac:dyDescent="0.6"/>
    <row r="140" spans="1:7" x14ac:dyDescent="0.6">
      <c r="G140" s="36"/>
    </row>
    <row r="147" spans="2:7" x14ac:dyDescent="0.6">
      <c r="G147" s="36"/>
    </row>
    <row r="148" spans="2:7" x14ac:dyDescent="0.6">
      <c r="G148" s="36"/>
    </row>
    <row r="149" spans="2:7" x14ac:dyDescent="0.6">
      <c r="B149" s="36"/>
      <c r="C149" s="36"/>
      <c r="D149" s="36"/>
      <c r="G149" s="36"/>
    </row>
    <row r="150" spans="2:7" x14ac:dyDescent="0.6">
      <c r="B150" s="36"/>
      <c r="C150" s="36"/>
      <c r="D150" s="36"/>
      <c r="G150" s="57"/>
    </row>
    <row r="151" spans="2:7" x14ac:dyDescent="0.6">
      <c r="G151" s="38"/>
    </row>
    <row r="152" spans="2:7" x14ac:dyDescent="0.6">
      <c r="G152" s="36"/>
    </row>
    <row r="153" spans="2:7" x14ac:dyDescent="0.6">
      <c r="B153" s="36"/>
      <c r="D153" s="36"/>
      <c r="G153" s="36"/>
    </row>
    <row r="156" spans="2:7" x14ac:dyDescent="0.6">
      <c r="B156" s="36"/>
      <c r="D156" s="36"/>
    </row>
    <row r="157" spans="2:7" x14ac:dyDescent="0.6">
      <c r="B157" s="36"/>
      <c r="D157" s="36"/>
    </row>
    <row r="158" spans="2:7" x14ac:dyDescent="0.6">
      <c r="B158" s="36"/>
      <c r="D158" s="36"/>
    </row>
    <row r="168" spans="5:5" x14ac:dyDescent="0.6">
      <c r="E168" s="106"/>
    </row>
  </sheetData>
  <mergeCells count="13">
    <mergeCell ref="A1:F1"/>
    <mergeCell ref="A2:F2"/>
    <mergeCell ref="A4:F4"/>
    <mergeCell ref="A43:F43"/>
    <mergeCell ref="A29:F29"/>
    <mergeCell ref="A20:F20"/>
    <mergeCell ref="A14:F14"/>
    <mergeCell ref="A124:F124"/>
    <mergeCell ref="A129:F129"/>
    <mergeCell ref="A82:F82"/>
    <mergeCell ref="A90:F90"/>
    <mergeCell ref="A97:F97"/>
    <mergeCell ref="A114:F114"/>
  </mergeCells>
  <pageMargins left="0.7" right="0.7" top="0.75" bottom="0.75" header="0.3" footer="0.3"/>
  <pageSetup scale="28" orientation="portrait" r:id="rId1"/>
  <rowBreaks count="1" manualBreakCount="1">
    <brk id="58" max="5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A10" sqref="A10:E10"/>
    </sheetView>
  </sheetViews>
  <sheetFormatPr defaultRowHeight="14.4" x14ac:dyDescent="0.55000000000000004"/>
  <cols>
    <col min="1" max="1" width="12" customWidth="1"/>
    <col min="2" max="2" width="61" customWidth="1"/>
    <col min="3" max="3" width="56.83984375" customWidth="1"/>
    <col min="4" max="4" width="64.83984375" customWidth="1"/>
  </cols>
  <sheetData>
    <row r="1" spans="1:5" ht="24.9" x14ac:dyDescent="0.8">
      <c r="A1" s="30">
        <v>1</v>
      </c>
      <c r="B1" s="31" t="s">
        <v>193</v>
      </c>
      <c r="C1" s="32" t="s">
        <v>85</v>
      </c>
      <c r="D1" s="33"/>
    </row>
    <row r="2" spans="1:5" ht="24.9" x14ac:dyDescent="0.8">
      <c r="A2" s="30">
        <v>2</v>
      </c>
      <c r="B2" s="31" t="s">
        <v>194</v>
      </c>
      <c r="C2" s="32" t="s">
        <v>85</v>
      </c>
      <c r="D2" s="33"/>
    </row>
    <row r="3" spans="1:5" ht="24.9" x14ac:dyDescent="0.8">
      <c r="A3" s="30">
        <v>3</v>
      </c>
      <c r="B3" s="31" t="s">
        <v>190</v>
      </c>
      <c r="C3" s="32" t="s">
        <v>85</v>
      </c>
      <c r="D3" s="33"/>
    </row>
    <row r="4" spans="1:5" ht="24.9" x14ac:dyDescent="0.8">
      <c r="A4" s="30">
        <v>4</v>
      </c>
      <c r="B4" s="31" t="s">
        <v>191</v>
      </c>
      <c r="C4" s="32" t="s">
        <v>85</v>
      </c>
      <c r="D4" s="33"/>
    </row>
    <row r="5" spans="1:5" ht="24.9" x14ac:dyDescent="0.8">
      <c r="A5" s="30">
        <v>5</v>
      </c>
      <c r="B5" s="32" t="s">
        <v>192</v>
      </c>
      <c r="C5" s="32" t="s">
        <v>85</v>
      </c>
      <c r="D5" s="32"/>
    </row>
    <row r="6" spans="1:5" ht="24.9" x14ac:dyDescent="0.8">
      <c r="A6" s="30">
        <v>6</v>
      </c>
      <c r="B6" s="32" t="s">
        <v>195</v>
      </c>
      <c r="C6" s="32" t="s">
        <v>85</v>
      </c>
      <c r="D6" s="32"/>
    </row>
    <row r="7" spans="1:5" ht="24.9" x14ac:dyDescent="0.8">
      <c r="A7" s="30">
        <v>7</v>
      </c>
      <c r="B7" s="32" t="s">
        <v>196</v>
      </c>
      <c r="C7" s="32" t="s">
        <v>85</v>
      </c>
      <c r="D7" s="32"/>
    </row>
    <row r="8" spans="1:5" ht="24.9" x14ac:dyDescent="0.8">
      <c r="A8" s="30">
        <v>8</v>
      </c>
      <c r="B8" s="32" t="s">
        <v>197</v>
      </c>
      <c r="C8" s="32" t="s">
        <v>85</v>
      </c>
      <c r="D8" s="32"/>
    </row>
    <row r="9" spans="1:5" ht="24.9" x14ac:dyDescent="0.8">
      <c r="A9" s="30">
        <v>9</v>
      </c>
      <c r="B9" s="32" t="s">
        <v>200</v>
      </c>
      <c r="C9" s="32" t="s">
        <v>85</v>
      </c>
      <c r="D9" s="32"/>
    </row>
    <row r="10" spans="1:5" ht="20.399999999999999" x14ac:dyDescent="0.75">
      <c r="A10" s="80" t="s">
        <v>199</v>
      </c>
      <c r="B10" s="82" t="s">
        <v>85</v>
      </c>
      <c r="C10" s="82" t="s">
        <v>189</v>
      </c>
      <c r="D10" s="83"/>
      <c r="E10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SENIOR MEMBERS LIST</vt:lpstr>
      <vt:lpstr>STAFF LIST</vt:lpstr>
      <vt:lpstr>Sheet1</vt:lpstr>
      <vt:lpstr>'STAFF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Teye Ametepey</cp:lastModifiedBy>
  <cp:lastPrinted>2024-12-03T15:05:34Z</cp:lastPrinted>
  <dcterms:created xsi:type="dcterms:W3CDTF">2019-09-16T13:13:26Z</dcterms:created>
  <dcterms:modified xsi:type="dcterms:W3CDTF">2026-09-18T13:58:31Z</dcterms:modified>
</cp:coreProperties>
</file>